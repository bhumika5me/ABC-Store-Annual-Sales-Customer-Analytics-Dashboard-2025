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esktop\Project excel\"/>
    </mc:Choice>
  </mc:AlternateContent>
  <xr:revisionPtr revIDLastSave="0" documentId="13_ncr:1_{5BD13403-06EC-495E-8DD4-758F3F45E660}" xr6:coauthVersionLast="47" xr6:coauthVersionMax="47" xr10:uidLastSave="{00000000-0000-0000-0000-000000000000}"/>
  <bookViews>
    <workbookView xWindow="-108" yWindow="-108" windowWidth="23256" windowHeight="12456" tabRatio="888" activeTab="2" xr2:uid="{11C7DA85-D15C-4321-B4C2-592E74656A4F}"/>
  </bookViews>
  <sheets>
    <sheet name="data" sheetId="1" r:id="rId1"/>
    <sheet name="Project_Guide" sheetId="10" r:id="rId2"/>
    <sheet name="Dashboard" sheetId="2" r:id="rId3"/>
    <sheet name="order vs sales" sheetId="3" r:id="rId4"/>
    <sheet name="female vs man" sheetId="4" r:id="rId5"/>
    <sheet name="oder status" sheetId="5" r:id="rId6"/>
    <sheet name="Top 3 States" sheetId="6" r:id="rId7"/>
    <sheet name="Age Vs Gender" sheetId="7" r:id="rId8"/>
    <sheet name="channel" sheetId="9" r:id="rId9"/>
  </sheets>
  <definedNames>
    <definedName name="Slicer_Categories">#N/A</definedName>
    <definedName name="Slicer_Channel">#N/A</definedName>
    <definedName name="Slicer_Month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1" i="1" l="1"/>
  <c r="F51" i="1"/>
  <c r="H50" i="1"/>
  <c r="F50" i="1"/>
  <c r="H49" i="1"/>
  <c r="F49" i="1"/>
  <c r="H48" i="1"/>
  <c r="F48" i="1"/>
  <c r="H47" i="1"/>
  <c r="F47" i="1"/>
  <c r="H46" i="1"/>
  <c r="F46" i="1"/>
  <c r="H45" i="1"/>
  <c r="F45" i="1"/>
  <c r="H44" i="1"/>
  <c r="F44" i="1"/>
  <c r="H43" i="1"/>
  <c r="F43" i="1"/>
  <c r="H42" i="1"/>
  <c r="F42" i="1"/>
  <c r="H41" i="1"/>
  <c r="F41" i="1"/>
  <c r="H40" i="1"/>
  <c r="F40" i="1"/>
  <c r="H39" i="1"/>
  <c r="F39" i="1"/>
  <c r="H38" i="1"/>
  <c r="F38" i="1"/>
  <c r="H37" i="1"/>
  <c r="F37" i="1"/>
  <c r="H36" i="1"/>
  <c r="F36" i="1"/>
  <c r="H35" i="1"/>
  <c r="F35" i="1"/>
  <c r="H34" i="1"/>
  <c r="F34" i="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H16" i="1"/>
  <c r="F16" i="1"/>
  <c r="H15" i="1"/>
  <c r="F15" i="1"/>
  <c r="H14" i="1"/>
  <c r="F14" i="1"/>
  <c r="H13" i="1"/>
  <c r="F13" i="1"/>
  <c r="H12" i="1"/>
  <c r="F12" i="1"/>
  <c r="H11" i="1"/>
  <c r="F11" i="1"/>
  <c r="H10" i="1"/>
  <c r="F10" i="1"/>
  <c r="H9" i="1"/>
  <c r="F9" i="1"/>
  <c r="H8" i="1"/>
  <c r="F8" i="1"/>
  <c r="H7" i="1"/>
  <c r="F7" i="1"/>
  <c r="H6" i="1"/>
  <c r="F6" i="1"/>
  <c r="H5" i="1"/>
  <c r="F5" i="1"/>
  <c r="H4" i="1"/>
  <c r="F4" i="1"/>
  <c r="H3" i="1"/>
  <c r="F3" i="1"/>
  <c r="H2" i="1"/>
  <c r="F2" i="1"/>
</calcChain>
</file>

<file path=xl/sharedStrings.xml><?xml version="1.0" encoding="utf-8"?>
<sst xmlns="http://schemas.openxmlformats.org/spreadsheetml/2006/main" count="738" uniqueCount="253">
  <si>
    <t>Index</t>
  </si>
  <si>
    <t>Order ID</t>
  </si>
  <si>
    <t>Cust ID</t>
  </si>
  <si>
    <t>Gender</t>
  </si>
  <si>
    <t>Age</t>
  </si>
  <si>
    <t>Age group</t>
  </si>
  <si>
    <t>Date</t>
  </si>
  <si>
    <t>Months</t>
  </si>
  <si>
    <t>Status</t>
  </si>
  <si>
    <t>Channel</t>
  </si>
  <si>
    <t>SKU</t>
  </si>
  <si>
    <t>Categories</t>
  </si>
  <si>
    <t>Size</t>
  </si>
  <si>
    <t>Qty</t>
  </si>
  <si>
    <t>Current</t>
  </si>
  <si>
    <t>Amount</t>
  </si>
  <si>
    <t>Ship-City</t>
  </si>
  <si>
    <t>Ship-State</t>
  </si>
  <si>
    <t>Ship-Status</t>
  </si>
  <si>
    <t>Ship-Postal Code</t>
  </si>
  <si>
    <t>Ship-Country</t>
  </si>
  <si>
    <t>B2B</t>
  </si>
  <si>
    <t>ORD-10001</t>
  </si>
  <si>
    <t>CUST-501</t>
  </si>
  <si>
    <t>Female</t>
  </si>
  <si>
    <t>Delivered</t>
  </si>
  <si>
    <t>Website</t>
  </si>
  <si>
    <t>TSH-101</t>
  </si>
  <si>
    <t>T-Shirt</t>
  </si>
  <si>
    <t>M</t>
  </si>
  <si>
    <t>Kathmandu</t>
  </si>
  <si>
    <t>Bagmati Province</t>
  </si>
  <si>
    <t>Nepal</t>
  </si>
  <si>
    <t>No</t>
  </si>
  <si>
    <t>ORD-10002</t>
  </si>
  <si>
    <t>CUST-502</t>
  </si>
  <si>
    <t>Male</t>
  </si>
  <si>
    <t>Shipped</t>
  </si>
  <si>
    <t>Daraz</t>
  </si>
  <si>
    <t>JEA-205</t>
  </si>
  <si>
    <t>Jeans</t>
  </si>
  <si>
    <t>L</t>
  </si>
  <si>
    <t>Lalitpur</t>
  </si>
  <si>
    <t>In Transit</t>
  </si>
  <si>
    <t>ORD-10003</t>
  </si>
  <si>
    <t>CUST-503</t>
  </si>
  <si>
    <t>Instagram</t>
  </si>
  <si>
    <t>DRE-310</t>
  </si>
  <si>
    <t>Dress</t>
  </si>
  <si>
    <t>S</t>
  </si>
  <si>
    <t>Pokhara</t>
  </si>
  <si>
    <t>Gandaki Province</t>
  </si>
  <si>
    <t>ORD-10004</t>
  </si>
  <si>
    <t>CUST-504</t>
  </si>
  <si>
    <t>Pending</t>
  </si>
  <si>
    <t>SHI-115</t>
  </si>
  <si>
    <t>Shirt</t>
  </si>
  <si>
    <t>XL</t>
  </si>
  <si>
    <t>Bharatpur</t>
  </si>
  <si>
    <t>Yes</t>
  </si>
  <si>
    <t>ORD-10005</t>
  </si>
  <si>
    <t>CUST-505</t>
  </si>
  <si>
    <t>Facebook</t>
  </si>
  <si>
    <t>KUR-220</t>
  </si>
  <si>
    <t>Kurta</t>
  </si>
  <si>
    <t>Biratnagar</t>
  </si>
  <si>
    <t>Koshi Province</t>
  </si>
  <si>
    <t>ORD-10006</t>
  </si>
  <si>
    <t>CUST-506</t>
  </si>
  <si>
    <t>Cancelled</t>
  </si>
  <si>
    <t>SHO-405</t>
  </si>
  <si>
    <t>Shoes</t>
  </si>
  <si>
    <t>Birgunj</t>
  </si>
  <si>
    <t>Madhesh Province</t>
  </si>
  <si>
    <t>ORD-10007</t>
  </si>
  <si>
    <t>CUST-507</t>
  </si>
  <si>
    <t>Amazon</t>
  </si>
  <si>
    <t>ACC-501</t>
  </si>
  <si>
    <t>Accessories</t>
  </si>
  <si>
    <t>Butwal</t>
  </si>
  <si>
    <t>Lumbini Province</t>
  </si>
  <si>
    <t>ORD-10008</t>
  </si>
  <si>
    <t>CUST-508</t>
  </si>
  <si>
    <t>JAC-610</t>
  </si>
  <si>
    <t>Jacket</t>
  </si>
  <si>
    <t>Dharan</t>
  </si>
  <si>
    <t>ORD-10009</t>
  </si>
  <si>
    <t>CUST-509</t>
  </si>
  <si>
    <t>Returned</t>
  </si>
  <si>
    <t>TSH-102</t>
  </si>
  <si>
    <t>ORD-10010</t>
  </si>
  <si>
    <t>CUST-510</t>
  </si>
  <si>
    <t>SHI-116</t>
  </si>
  <si>
    <t>ORD-10011</t>
  </si>
  <si>
    <t>CUST-511</t>
  </si>
  <si>
    <t>JEA-206</t>
  </si>
  <si>
    <t>ORD-10012</t>
  </si>
  <si>
    <t>CUST-512</t>
  </si>
  <si>
    <t>SHO-406</t>
  </si>
  <si>
    <t>ORD-10013</t>
  </si>
  <si>
    <t>CUST-513</t>
  </si>
  <si>
    <t>DRE-311</t>
  </si>
  <si>
    <t>ORD-10014</t>
  </si>
  <si>
    <t>CUST-514</t>
  </si>
  <si>
    <t>JAC-611</t>
  </si>
  <si>
    <t>ORD-10015</t>
  </si>
  <si>
    <t>CUST-515</t>
  </si>
  <si>
    <t>KUR-221</t>
  </si>
  <si>
    <t>ORD-10016</t>
  </si>
  <si>
    <t>CUST-516</t>
  </si>
  <si>
    <t>TSH-103</t>
  </si>
  <si>
    <t>XXL</t>
  </si>
  <si>
    <t>ORD-10017</t>
  </si>
  <si>
    <t>CUST-517</t>
  </si>
  <si>
    <t>ACC-502</t>
  </si>
  <si>
    <t>ORD-10018</t>
  </si>
  <si>
    <t>CUST-518</t>
  </si>
  <si>
    <t>JEA-207</t>
  </si>
  <si>
    <t>ORD-10019</t>
  </si>
  <si>
    <t>CUST-519</t>
  </si>
  <si>
    <t>DRE-312</t>
  </si>
  <si>
    <t>ORD-10020</t>
  </si>
  <si>
    <t>CUST-520</t>
  </si>
  <si>
    <t>SHO-407</t>
  </si>
  <si>
    <t>ORD-10021</t>
  </si>
  <si>
    <t>CUST-521</t>
  </si>
  <si>
    <t>TSH-104</t>
  </si>
  <si>
    <t>ORD-10022</t>
  </si>
  <si>
    <t>CUST-522</t>
  </si>
  <si>
    <t>SHI-117</t>
  </si>
  <si>
    <t>ORD-10023</t>
  </si>
  <si>
    <t>CUST-523</t>
  </si>
  <si>
    <t>JEA-208</t>
  </si>
  <si>
    <t>ORD-10024</t>
  </si>
  <si>
    <t>CUST-524</t>
  </si>
  <si>
    <t>KUR-222</t>
  </si>
  <si>
    <t>ORD-10025</t>
  </si>
  <si>
    <t>CUST-525</t>
  </si>
  <si>
    <t>DRE-313</t>
  </si>
  <si>
    <t>ORD-10026</t>
  </si>
  <si>
    <t>CUST-526</t>
  </si>
  <si>
    <t>JAC-612</t>
  </si>
  <si>
    <t>ORD-10027</t>
  </si>
  <si>
    <t>CUST-527</t>
  </si>
  <si>
    <t>SHO-408</t>
  </si>
  <si>
    <t>ORD-10028</t>
  </si>
  <si>
    <t>CUST-528</t>
  </si>
  <si>
    <t>ACC-503</t>
  </si>
  <si>
    <t>ORD-10029</t>
  </si>
  <si>
    <t>CUST-529</t>
  </si>
  <si>
    <t>SHI-118</t>
  </si>
  <si>
    <t>ORD-10030</t>
  </si>
  <si>
    <t>CUST-530</t>
  </si>
  <si>
    <t>TSH-105</t>
  </si>
  <si>
    <t>ORD-10031</t>
  </si>
  <si>
    <t>CUST-531</t>
  </si>
  <si>
    <t>JEA-209</t>
  </si>
  <si>
    <t>ORD-10032</t>
  </si>
  <si>
    <t>CUST-532</t>
  </si>
  <si>
    <t>DRE-314</t>
  </si>
  <si>
    <t>ORD-10033</t>
  </si>
  <si>
    <t>CUST-533</t>
  </si>
  <si>
    <t>KUR-223</t>
  </si>
  <si>
    <t>ORD-10034</t>
  </si>
  <si>
    <t>CUST-534</t>
  </si>
  <si>
    <t>SHO-409</t>
  </si>
  <si>
    <t>ORD-10035</t>
  </si>
  <si>
    <t>CUST-535</t>
  </si>
  <si>
    <t>ACC-504</t>
  </si>
  <si>
    <t>ORD-10036</t>
  </si>
  <si>
    <t>CUST-536</t>
  </si>
  <si>
    <t>JAC-613</t>
  </si>
  <si>
    <t>ORD-10037</t>
  </si>
  <si>
    <t>CUST-537</t>
  </si>
  <si>
    <t>TSH-106</t>
  </si>
  <si>
    <t>ORD-10038</t>
  </si>
  <si>
    <t>CUST-538</t>
  </si>
  <si>
    <t>SHI-119</t>
  </si>
  <si>
    <t>ORD-10039</t>
  </si>
  <si>
    <t>CUST-539</t>
  </si>
  <si>
    <t>JEA-210</t>
  </si>
  <si>
    <t>ORD-10040</t>
  </si>
  <si>
    <t>CUST-540</t>
  </si>
  <si>
    <t>KUR-224</t>
  </si>
  <si>
    <t>ORD-10041</t>
  </si>
  <si>
    <t>CUST-541</t>
  </si>
  <si>
    <t>DRE-315</t>
  </si>
  <si>
    <t>ORD-10042</t>
  </si>
  <si>
    <t>CUST-542</t>
  </si>
  <si>
    <t>SHO-410</t>
  </si>
  <si>
    <t>ORD-10043</t>
  </si>
  <si>
    <t>CUST-543</t>
  </si>
  <si>
    <t>ACC-505</t>
  </si>
  <si>
    <t>ORD-10044</t>
  </si>
  <si>
    <t>CUST-544</t>
  </si>
  <si>
    <t>TSH-107</t>
  </si>
  <si>
    <t>ORD-10045</t>
  </si>
  <si>
    <t>CUST-545</t>
  </si>
  <si>
    <t>JAC-614</t>
  </si>
  <si>
    <t>ORD-10046</t>
  </si>
  <si>
    <t>CUST-546</t>
  </si>
  <si>
    <t>SHI-120</t>
  </si>
  <si>
    <t>ORD-10047</t>
  </si>
  <si>
    <t>CUST-547</t>
  </si>
  <si>
    <t>KUR-225</t>
  </si>
  <si>
    <t>ORD-10048</t>
  </si>
  <si>
    <t>CUST-548</t>
  </si>
  <si>
    <t>JEA-211</t>
  </si>
  <si>
    <t>ORD-10049</t>
  </si>
  <si>
    <t>CUST-549</t>
  </si>
  <si>
    <t>DRE-316</t>
  </si>
  <si>
    <t>ORD-10050</t>
  </si>
  <si>
    <t>CUST-550</t>
  </si>
  <si>
    <t>SHO-411</t>
  </si>
  <si>
    <t>Row Labels</t>
  </si>
  <si>
    <t>Jan</t>
  </si>
  <si>
    <t>Feb</t>
  </si>
  <si>
    <t>Mar</t>
  </si>
  <si>
    <t>Apr</t>
  </si>
  <si>
    <t>May</t>
  </si>
  <si>
    <t>Jun</t>
  </si>
  <si>
    <t>Jul</t>
  </si>
  <si>
    <t>Aug</t>
  </si>
  <si>
    <t>Sep</t>
  </si>
  <si>
    <t>Oct</t>
  </si>
  <si>
    <t>Nov</t>
  </si>
  <si>
    <t>Dec</t>
  </si>
  <si>
    <t>Sum of Amount</t>
  </si>
  <si>
    <t>Count of Cust ID</t>
  </si>
  <si>
    <t>Adult</t>
  </si>
  <si>
    <t>Senior</t>
  </si>
  <si>
    <t>Teenager</t>
  </si>
  <si>
    <t>Count of Order ID</t>
  </si>
  <si>
    <t>Column Labels</t>
  </si>
  <si>
    <t>Section</t>
  </si>
  <si>
    <t>Details</t>
  </si>
  <si>
    <t>Project Title</t>
  </si>
  <si>
    <t>Objective</t>
  </si>
  <si>
    <t>Dataset Size</t>
  </si>
  <si>
    <t>Analysis Period</t>
  </si>
  <si>
    <t>Main Tools</t>
  </si>
  <si>
    <t>Portfolio Outcome</t>
  </si>
  <si>
    <t>E-Commerce Sales &amp; Customer Analytics Dashboard</t>
  </si>
  <si>
    <t>Analyze sales, customers, products, channels, regions, and order status.</t>
  </si>
  <si>
    <t>50 transaction records</t>
  </si>
  <si>
    <t>January 2025 – December 2025</t>
  </si>
  <si>
    <t>Excel, PivotTables, PivotCharts, Slicers, Power Query</t>
  </si>
  <si>
    <t>Key KPIs</t>
  </si>
  <si>
    <t>Revenue, Orders, Quantity, Average Order Value, Delivered, Pending, Cancelled, Returned</t>
  </si>
  <si>
    <t>Analysis Areas</t>
  </si>
  <si>
    <t>Products, Categories, Customers, Channels, Regions, and B2B vs. B2C</t>
  </si>
  <si>
    <t>Interactive dashboard with key sales and customer insights.</t>
  </si>
  <si>
    <t>ABC Store – Annual Sales &amp; Customer Analytics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</si>
</sst>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b/>
      <sz val="11"/>
      <color rgb="FFFFFFFF"/>
      <name val="Calibri"/>
    </font>
  </fonts>
  <fills count="4">
    <fill>
      <patternFill patternType="none"/>
    </fill>
    <fill>
      <patternFill patternType="gray125"/>
    </fill>
    <fill>
      <patternFill patternType="solid">
        <fgColor rgb="FFFFFF00"/>
        <bgColor indexed="64"/>
      </patternFill>
    </fill>
    <fill>
      <patternFill patternType="solid">
        <fgColor rgb="FF60000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medium">
        <color theme="1"/>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right" vertical="center" wrapText="1"/>
    </xf>
    <xf numFmtId="0" fontId="1" fillId="2" borderId="1" xfId="0" applyFont="1" applyFill="1"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3" xfId="0" applyBorder="1"/>
    <xf numFmtId="0" fontId="0" fillId="0" borderId="0" xfId="0" applyAlignment="1">
      <alignment horizontal="center"/>
    </xf>
    <xf numFmtId="0" fontId="3" fillId="3" borderId="1" xfId="0" applyFont="1" applyFill="1" applyBorder="1" applyAlignment="1">
      <alignment horizontal="center"/>
    </xf>
    <xf numFmtId="0" fontId="2" fillId="3" borderId="1" xfId="0" applyFont="1"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4" fillId="3" borderId="1" xfId="0" applyFont="1" applyFill="1" applyBorder="1" applyAlignment="1">
      <alignment vertical="top" wrapText="1"/>
    </xf>
    <xf numFmtId="0" fontId="0" fillId="0" borderId="4" xfId="0" applyBorder="1" applyAlignment="1">
      <alignment vertical="center" wrapText="1"/>
    </xf>
    <xf numFmtId="0" fontId="0" fillId="0" borderId="5" xfId="0" applyBorder="1" applyAlignment="1">
      <alignment vertical="center" wrapText="1"/>
    </xf>
    <xf numFmtId="0" fontId="1" fillId="0" borderId="6" xfId="0" applyFont="1" applyBorder="1" applyAlignment="1">
      <alignment vertical="center" wrapText="1"/>
    </xf>
    <xf numFmtId="0" fontId="1" fillId="0" borderId="8" xfId="0" applyFont="1" applyBorder="1" applyAlignment="1">
      <alignment vertical="center" wrapText="1"/>
    </xf>
    <xf numFmtId="0" fontId="1" fillId="0" borderId="7"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6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[dashbord3.xlsx]order vs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Vs</a:t>
            </a:r>
            <a:r>
              <a:rPr lang="en-US" baseline="0"/>
              <a:t> Sales</a:t>
            </a:r>
            <a:endParaRPr lang="en-US"/>
          </a:p>
        </c:rich>
      </c:tx>
      <c:layout>
        <c:manualLayout>
          <c:xMode val="edge"/>
          <c:yMode val="edge"/>
          <c:x val="0.22060411198600174"/>
          <c:y val="9.72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2958390803126"/>
          <c:y val="0.25504629629629627"/>
          <c:w val="0.70463281351828533"/>
          <c:h val="0.63755431612715063"/>
        </c:manualLayout>
      </c:layout>
      <c:barChart>
        <c:barDir val="col"/>
        <c:grouping val="clustered"/>
        <c:varyColors val="0"/>
        <c:ser>
          <c:idx val="0"/>
          <c:order val="0"/>
          <c:tx>
            <c:strRef>
              <c:f>'order vs sales'!$B$3</c:f>
              <c:strCache>
                <c:ptCount val="1"/>
                <c:pt idx="0">
                  <c:v>Sum of Amount</c:v>
                </c:pt>
              </c:strCache>
            </c:strRef>
          </c:tx>
          <c:spPr>
            <a:solidFill>
              <a:schemeClr val="accent2">
                <a:lumMod val="75000"/>
              </a:schemeClr>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9893</c:v>
                </c:pt>
                <c:pt idx="1">
                  <c:v>18993</c:v>
                </c:pt>
                <c:pt idx="2">
                  <c:v>15895</c:v>
                </c:pt>
                <c:pt idx="3">
                  <c:v>11193</c:v>
                </c:pt>
                <c:pt idx="4">
                  <c:v>15094</c:v>
                </c:pt>
                <c:pt idx="5">
                  <c:v>18595</c:v>
                </c:pt>
                <c:pt idx="6">
                  <c:v>16995</c:v>
                </c:pt>
                <c:pt idx="7">
                  <c:v>13092</c:v>
                </c:pt>
                <c:pt idx="8">
                  <c:v>17594</c:v>
                </c:pt>
                <c:pt idx="9">
                  <c:v>34491</c:v>
                </c:pt>
                <c:pt idx="10">
                  <c:v>8194</c:v>
                </c:pt>
                <c:pt idx="11">
                  <c:v>24294</c:v>
                </c:pt>
              </c:numCache>
            </c:numRef>
          </c:val>
          <c:extLst>
            <c:ext xmlns:c16="http://schemas.microsoft.com/office/drawing/2014/chart" uri="{C3380CC4-5D6E-409C-BE32-E72D297353CC}">
              <c16:uniqueId val="{00000005-C221-4390-8643-8958750F56ED}"/>
            </c:ext>
          </c:extLst>
        </c:ser>
        <c:ser>
          <c:idx val="1"/>
          <c:order val="1"/>
          <c:tx>
            <c:strRef>
              <c:f>'order vs sales'!$C$3</c:f>
              <c:strCache>
                <c:ptCount val="1"/>
                <c:pt idx="0">
                  <c:v>Count of Cust ID</c:v>
                </c:pt>
              </c:strCache>
            </c:strRef>
          </c:tx>
          <c:spPr>
            <a:solidFill>
              <a:schemeClr val="accent2"/>
            </a:solidFill>
            <a:ln w="25400">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4</c:v>
                </c:pt>
                <c:pt idx="1">
                  <c:v>4</c:v>
                </c:pt>
                <c:pt idx="2">
                  <c:v>4</c:v>
                </c:pt>
                <c:pt idx="3">
                  <c:v>4</c:v>
                </c:pt>
                <c:pt idx="4">
                  <c:v>4</c:v>
                </c:pt>
                <c:pt idx="5">
                  <c:v>4</c:v>
                </c:pt>
                <c:pt idx="6">
                  <c:v>4</c:v>
                </c:pt>
                <c:pt idx="7">
                  <c:v>4</c:v>
                </c:pt>
                <c:pt idx="8">
                  <c:v>4</c:v>
                </c:pt>
                <c:pt idx="9">
                  <c:v>5</c:v>
                </c:pt>
                <c:pt idx="10">
                  <c:v>4</c:v>
                </c:pt>
                <c:pt idx="11">
                  <c:v>5</c:v>
                </c:pt>
              </c:numCache>
            </c:numRef>
          </c:val>
          <c:extLst>
            <c:ext xmlns:c16="http://schemas.microsoft.com/office/drawing/2014/chart" uri="{C3380CC4-5D6E-409C-BE32-E72D297353CC}">
              <c16:uniqueId val="{00000006-C221-4390-8643-8958750F56ED}"/>
            </c:ext>
          </c:extLst>
        </c:ser>
        <c:dLbls>
          <c:showLegendKey val="0"/>
          <c:showVal val="0"/>
          <c:showCatName val="0"/>
          <c:showSerName val="0"/>
          <c:showPercent val="0"/>
          <c:showBubbleSize val="0"/>
        </c:dLbls>
        <c:gapWidth val="219"/>
        <c:overlap val="-27"/>
        <c:axId val="1311892063"/>
        <c:axId val="1311890399"/>
      </c:barChart>
      <c:catAx>
        <c:axId val="13118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0399"/>
        <c:crosses val="autoZero"/>
        <c:auto val="1"/>
        <c:lblAlgn val="ctr"/>
        <c:lblOffset val="100"/>
        <c:noMultiLvlLbl val="0"/>
      </c:catAx>
      <c:valAx>
        <c:axId val="1311890399"/>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2063"/>
        <c:crosses val="autoZero"/>
        <c:crossBetween val="between"/>
      </c:valAx>
      <c:spPr>
        <a:noFill/>
        <a:ln>
          <a:noFill/>
        </a:ln>
        <a:effectLst/>
      </c:spPr>
    </c:plotArea>
    <c:legend>
      <c:legendPos val="r"/>
      <c:layout>
        <c:manualLayout>
          <c:xMode val="edge"/>
          <c:yMode val="edge"/>
          <c:x val="0.57857094123785979"/>
          <c:y val="0.11510026755819538"/>
          <c:w val="0.36031783534370465"/>
          <c:h val="0.116010988399172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[dashbord3.xlsx]female vs man!PivotTable2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Female Vs Men</a:t>
            </a:r>
          </a:p>
        </c:rich>
      </c:tx>
      <c:layout>
        <c:manualLayout>
          <c:xMode val="edge"/>
          <c:yMode val="edge"/>
          <c:x val="6.0713848524359647E-2"/>
          <c:y val="6.4213573333670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85000"/>
              <a:lumOff val="15000"/>
            </a:schemeClr>
          </a:solidFill>
          <a:ln w="19050">
            <a:solidFill>
              <a:schemeClr val="lt1"/>
            </a:solidFill>
          </a:ln>
          <a:effectLst/>
        </c:spPr>
        <c:dLbl>
          <c:idx val="0"/>
          <c:layout>
            <c:manualLayout>
              <c:x val="-0.2145682001614205"/>
              <c:y val="5.555555555555564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50000"/>
            </a:schemeClr>
          </a:solidFill>
          <a:ln w="19050">
            <a:solidFill>
              <a:schemeClr val="lt1"/>
            </a:solidFill>
          </a:ln>
          <a:effectLst/>
        </c:spPr>
        <c:dLbl>
          <c:idx val="0"/>
          <c:layout>
            <c:manualLayout>
              <c:x val="0.2034571949692729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03940185442921"/>
                  <c:h val="0.11673082531350248"/>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1">
              <a:lumMod val="85000"/>
              <a:lumOff val="15000"/>
            </a:schemeClr>
          </a:solidFill>
          <a:ln w="19050">
            <a:solidFill>
              <a:schemeClr val="lt1"/>
            </a:solidFill>
          </a:ln>
          <a:effectLst/>
        </c:spPr>
        <c:dLbl>
          <c:idx val="0"/>
          <c:layout>
            <c:manualLayout>
              <c:x val="-0.2145682001614205"/>
              <c:y val="5.555555555555564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50000"/>
            </a:schemeClr>
          </a:solidFill>
          <a:ln w="19050">
            <a:solidFill>
              <a:schemeClr val="lt1"/>
            </a:solidFill>
          </a:ln>
          <a:effectLst/>
        </c:spPr>
        <c:dLbl>
          <c:idx val="0"/>
          <c:layout>
            <c:manualLayout>
              <c:x val="0.2034571949692729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03940185442921"/>
                  <c:h val="0.11673082531350248"/>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1">
              <a:lumMod val="85000"/>
              <a:lumOff val="15000"/>
            </a:schemeClr>
          </a:solidFill>
          <a:ln w="19050">
            <a:solidFill>
              <a:schemeClr val="lt1"/>
            </a:solidFill>
          </a:ln>
          <a:effectLst/>
        </c:spPr>
        <c:dLbl>
          <c:idx val="0"/>
          <c:layout>
            <c:manualLayout>
              <c:x val="-0.2145682001614205"/>
              <c:y val="5.555555555555564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50000"/>
            </a:schemeClr>
          </a:solidFill>
          <a:ln w="19050">
            <a:solidFill>
              <a:schemeClr val="lt1"/>
            </a:solidFill>
          </a:ln>
          <a:effectLst/>
        </c:spPr>
        <c:dLbl>
          <c:idx val="0"/>
          <c:layout>
            <c:manualLayout>
              <c:x val="0.2034571949692729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03940185442921"/>
                  <c:h val="0.11673082531350248"/>
                </c:manualLayout>
              </c15:layout>
            </c:ext>
          </c:extLst>
        </c:dLbl>
      </c:pivotFmt>
    </c:pivotFmts>
    <c:plotArea>
      <c:layout/>
      <c:pieChart>
        <c:varyColors val="1"/>
        <c:ser>
          <c:idx val="0"/>
          <c:order val="0"/>
          <c:tx>
            <c:strRef>
              <c:f>'female vs man'!$B$3</c:f>
              <c:strCache>
                <c:ptCount val="1"/>
                <c:pt idx="0">
                  <c:v>Total</c:v>
                </c:pt>
              </c:strCache>
            </c:strRef>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67A6-4F4A-90D9-B52F9B073CEB}"/>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67A6-4F4A-90D9-B52F9B073CEB}"/>
              </c:ext>
            </c:extLst>
          </c:dPt>
          <c:dLbls>
            <c:dLbl>
              <c:idx val="0"/>
              <c:layout>
                <c:manualLayout>
                  <c:x val="-0.2145682001614205"/>
                  <c:y val="5.55555555555556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A6-4F4A-90D9-B52F9B073CEB}"/>
                </c:ext>
              </c:extLst>
            </c:dLbl>
            <c:dLbl>
              <c:idx val="1"/>
              <c:layout>
                <c:manualLayout>
                  <c:x val="0.20345719496927292"/>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003940185442921"/>
                      <c:h val="0.11673082531350248"/>
                    </c:manualLayout>
                  </c15:layout>
                </c:ext>
                <c:ext xmlns:c16="http://schemas.microsoft.com/office/drawing/2014/chart" uri="{C3380CC4-5D6E-409C-BE32-E72D297353CC}">
                  <c16:uniqueId val="{00000003-67A6-4F4A-90D9-B52F9B073CE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'female vs man'!$A$4:$A$5</c:f>
              <c:strCache>
                <c:ptCount val="2"/>
                <c:pt idx="0">
                  <c:v>Female</c:v>
                </c:pt>
                <c:pt idx="1">
                  <c:v>Male</c:v>
                </c:pt>
              </c:strCache>
            </c:strRef>
          </c:cat>
          <c:val>
            <c:numRef>
              <c:f>'female vs man'!$B$4:$B$5</c:f>
              <c:numCache>
                <c:formatCode>General</c:formatCode>
                <c:ptCount val="2"/>
                <c:pt idx="0">
                  <c:v>84664</c:v>
                </c:pt>
                <c:pt idx="1">
                  <c:v>119659</c:v>
                </c:pt>
              </c:numCache>
            </c:numRef>
          </c:val>
          <c:extLst>
            <c:ext xmlns:c16="http://schemas.microsoft.com/office/drawing/2014/chart" uri="{C3380CC4-5D6E-409C-BE32-E72D297353CC}">
              <c16:uniqueId val="{00000007-B49B-448F-9A09-2BDB3659A6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[dashbord3.xlsx]oder status!PivotTable3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50000"/>
            </a:schemeClr>
          </a:solidFill>
          <a:ln w="19050">
            <a:solidFill>
              <a:schemeClr val="lt1"/>
            </a:solidFill>
          </a:ln>
          <a:effectLst/>
        </c:spPr>
        <c:dLbl>
          <c:idx val="0"/>
          <c:layout>
            <c:manualLayout>
              <c:x val="-0.18881626724763986"/>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50000"/>
            </a:schemeClr>
          </a:solidFill>
          <a:ln w="19050">
            <a:solidFill>
              <a:schemeClr val="lt1"/>
            </a:solidFill>
          </a:ln>
          <a:effectLst/>
        </c:spPr>
      </c:pivotFmt>
      <c:pivotFmt>
        <c:idx val="3"/>
        <c:spPr>
          <a:solidFill>
            <a:schemeClr val="accent4">
              <a:lumMod val="5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6">
              <a:lumMod val="50000"/>
            </a:schemeClr>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1">
              <a:lumMod val="95000"/>
              <a:lumOff val="5000"/>
            </a:schemeClr>
          </a:solidFill>
          <a:ln w="19050">
            <a:solidFill>
              <a:schemeClr val="lt1"/>
            </a:solidFill>
          </a:ln>
          <a:effectLst/>
        </c:spPr>
      </c:pivotFmt>
      <c:pivotFmt>
        <c:idx val="9"/>
        <c:spPr>
          <a:solidFill>
            <a:schemeClr val="accent2">
              <a:lumMod val="50000"/>
            </a:schemeClr>
          </a:solidFill>
          <a:ln w="19050">
            <a:solidFill>
              <a:schemeClr val="lt1"/>
            </a:solidFill>
          </a:ln>
          <a:effectLst/>
        </c:spPr>
        <c:dLbl>
          <c:idx val="0"/>
          <c:layout>
            <c:manualLayout>
              <c:x val="-0.18881626724763986"/>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1">
              <a:lumMod val="50000"/>
            </a:schemeClr>
          </a:solidFill>
          <a:ln w="19050">
            <a:solidFill>
              <a:schemeClr val="lt1"/>
            </a:solidFill>
          </a:ln>
          <a:effectLst/>
        </c:spPr>
      </c:pivotFmt>
      <c:pivotFmt>
        <c:idx val="11"/>
        <c:spPr>
          <a:solidFill>
            <a:schemeClr val="accent4">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accent6">
              <a:lumMod val="50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tx1">
              <a:lumMod val="95000"/>
              <a:lumOff val="5000"/>
            </a:schemeClr>
          </a:solidFill>
          <a:ln w="19050">
            <a:solidFill>
              <a:schemeClr val="lt1"/>
            </a:solidFill>
          </a:ln>
          <a:effectLst/>
        </c:spPr>
      </c:pivotFmt>
      <c:pivotFmt>
        <c:idx val="16"/>
        <c:spPr>
          <a:solidFill>
            <a:schemeClr val="accent2">
              <a:lumMod val="50000"/>
            </a:schemeClr>
          </a:solidFill>
          <a:ln w="19050">
            <a:solidFill>
              <a:schemeClr val="lt1"/>
            </a:solidFill>
          </a:ln>
          <a:effectLst/>
        </c:spPr>
        <c:dLbl>
          <c:idx val="0"/>
          <c:layout>
            <c:manualLayout>
              <c:x val="-0.18881626724763986"/>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50000"/>
            </a:schemeClr>
          </a:solidFill>
          <a:ln w="19050">
            <a:solidFill>
              <a:schemeClr val="lt1"/>
            </a:solidFill>
          </a:ln>
          <a:effectLst/>
        </c:spPr>
      </c:pivotFmt>
      <c:pivotFmt>
        <c:idx val="18"/>
        <c:spPr>
          <a:solidFill>
            <a:schemeClr val="accent4">
              <a:lumMod val="50000"/>
            </a:schemeClr>
          </a:solidFill>
          <a:ln w="19050">
            <a:solidFill>
              <a:schemeClr val="lt1"/>
            </a:solidFill>
          </a:ln>
          <a:effectLst/>
        </c:spPr>
      </c:pivotFmt>
      <c:pivotFmt>
        <c:idx val="19"/>
        <c:spPr>
          <a:solidFill>
            <a:schemeClr val="accent5">
              <a:lumMod val="50000"/>
            </a:schemeClr>
          </a:solidFill>
          <a:ln w="19050">
            <a:solidFill>
              <a:schemeClr val="lt1"/>
            </a:solidFill>
          </a:ln>
          <a:effectLst/>
        </c:spPr>
      </c:pivotFmt>
      <c:pivotFmt>
        <c:idx val="20"/>
        <c:spPr>
          <a:solidFill>
            <a:schemeClr val="accent6">
              <a:lumMod val="50000"/>
            </a:schemeClr>
          </a:solidFill>
          <a:ln w="19050">
            <a:solidFill>
              <a:schemeClr val="lt1"/>
            </a:solidFill>
          </a:ln>
          <a:effectLst/>
        </c:spPr>
      </c:pivotFmt>
    </c:pivotFmts>
    <c:plotArea>
      <c:layout>
        <c:manualLayout>
          <c:layoutTarget val="inner"/>
          <c:xMode val="edge"/>
          <c:yMode val="edge"/>
          <c:x val="0.23825130518815868"/>
          <c:y val="0.29610819480898221"/>
          <c:w val="0.52349767553565607"/>
          <c:h val="0.66745953630796151"/>
        </c:manualLayout>
      </c:layout>
      <c:pieChart>
        <c:varyColors val="1"/>
        <c:ser>
          <c:idx val="0"/>
          <c:order val="0"/>
          <c:tx>
            <c:strRef>
              <c:f>'oder status'!$B$3</c:f>
              <c:strCache>
                <c:ptCount val="1"/>
                <c:pt idx="0">
                  <c:v>Total</c:v>
                </c:pt>
              </c:strCache>
            </c:strRef>
          </c:tx>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1-1371-4D22-AA3C-4BB57EC8A6A0}"/>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1371-4D22-AA3C-4BB57EC8A6A0}"/>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1371-4D22-AA3C-4BB57EC8A6A0}"/>
              </c:ext>
            </c:extLst>
          </c:dPt>
          <c:dPt>
            <c:idx val="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7-1371-4D22-AA3C-4BB57EC8A6A0}"/>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1371-4D22-AA3C-4BB57EC8A6A0}"/>
              </c:ext>
            </c:extLst>
          </c:dPt>
          <c:dPt>
            <c:idx val="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B-1371-4D22-AA3C-4BB57EC8A6A0}"/>
              </c:ext>
            </c:extLst>
          </c:dPt>
          <c:dLbls>
            <c:dLbl>
              <c:idx val="1"/>
              <c:layout>
                <c:manualLayout>
                  <c:x val="-0.18881626724763986"/>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371-4D22-AA3C-4BB57EC8A6A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'oder status'!$A$4:$A$9</c:f>
              <c:strCache>
                <c:ptCount val="6"/>
                <c:pt idx="0">
                  <c:v>Cancelled</c:v>
                </c:pt>
                <c:pt idx="1">
                  <c:v>Delivered</c:v>
                </c:pt>
                <c:pt idx="2">
                  <c:v>In Transit</c:v>
                </c:pt>
                <c:pt idx="3">
                  <c:v>Pending</c:v>
                </c:pt>
                <c:pt idx="4">
                  <c:v>Returned</c:v>
                </c:pt>
                <c:pt idx="5">
                  <c:v>Shipped</c:v>
                </c:pt>
              </c:strCache>
            </c:strRef>
          </c:cat>
          <c:val>
            <c:numRef>
              <c:f>'oder status'!$B$4:$B$9</c:f>
              <c:numCache>
                <c:formatCode>General</c:formatCode>
                <c:ptCount val="6"/>
                <c:pt idx="0">
                  <c:v>4</c:v>
                </c:pt>
                <c:pt idx="1">
                  <c:v>25</c:v>
                </c:pt>
                <c:pt idx="2">
                  <c:v>5</c:v>
                </c:pt>
                <c:pt idx="3">
                  <c:v>6</c:v>
                </c:pt>
                <c:pt idx="4">
                  <c:v>5</c:v>
                </c:pt>
                <c:pt idx="5">
                  <c:v>5</c:v>
                </c:pt>
              </c:numCache>
            </c:numRef>
          </c:val>
          <c:extLst>
            <c:ext xmlns:c16="http://schemas.microsoft.com/office/drawing/2014/chart" uri="{C3380CC4-5D6E-409C-BE32-E72D297353CC}">
              <c16:uniqueId val="{0000000F-ABE9-4954-9C62-01695849B7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[dashbord3.xlsx]Top 3 States!PivotTable5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3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9024496937882"/>
          <c:y val="0.17171296296296296"/>
          <c:w val="0.70329527559055116"/>
          <c:h val="0.72088764946048411"/>
        </c:manualLayout>
      </c:layout>
      <c:barChart>
        <c:barDir val="bar"/>
        <c:grouping val="clustered"/>
        <c:varyColors val="0"/>
        <c:ser>
          <c:idx val="0"/>
          <c:order val="0"/>
          <c:tx>
            <c:strRef>
              <c:f>'Top 3 States'!$B$3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States'!$A$4:$A$6</c:f>
              <c:strCache>
                <c:ptCount val="3"/>
                <c:pt idx="0">
                  <c:v>Bagmati Province</c:v>
                </c:pt>
                <c:pt idx="1">
                  <c:v>Koshi Province</c:v>
                </c:pt>
                <c:pt idx="2">
                  <c:v>Gandaki Province</c:v>
                </c:pt>
              </c:strCache>
            </c:strRef>
          </c:cat>
          <c:val>
            <c:numRef>
              <c:f>'Top 3 States'!$B$4:$B$6</c:f>
              <c:numCache>
                <c:formatCode>General</c:formatCode>
                <c:ptCount val="3"/>
                <c:pt idx="0">
                  <c:v>96464</c:v>
                </c:pt>
                <c:pt idx="1">
                  <c:v>43484</c:v>
                </c:pt>
                <c:pt idx="2">
                  <c:v>29488</c:v>
                </c:pt>
              </c:numCache>
            </c:numRef>
          </c:val>
          <c:extLst>
            <c:ext xmlns:c16="http://schemas.microsoft.com/office/drawing/2014/chart" uri="{C3380CC4-5D6E-409C-BE32-E72D297353CC}">
              <c16:uniqueId val="{00000003-70E0-4848-8E79-1A78D4F1DC4F}"/>
            </c:ext>
          </c:extLst>
        </c:ser>
        <c:dLbls>
          <c:showLegendKey val="0"/>
          <c:showVal val="0"/>
          <c:showCatName val="0"/>
          <c:showSerName val="0"/>
          <c:showPercent val="0"/>
          <c:showBubbleSize val="0"/>
        </c:dLbls>
        <c:gapWidth val="182"/>
        <c:axId val="1554301711"/>
        <c:axId val="1554289231"/>
      </c:barChart>
      <c:catAx>
        <c:axId val="155430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89231"/>
        <c:crosses val="autoZero"/>
        <c:auto val="1"/>
        <c:lblAlgn val="ctr"/>
        <c:lblOffset val="100"/>
        <c:noMultiLvlLbl val="0"/>
      </c:catAx>
      <c:valAx>
        <c:axId val="1554289231"/>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0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[dashbord3.xlsx]Age Vs Gender!PivotTable6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Age Vs Gender</a:t>
            </a:r>
            <a:endParaRPr lang="en-US"/>
          </a:p>
        </c:rich>
      </c:tx>
      <c:layout>
        <c:manualLayout>
          <c:xMode val="edge"/>
          <c:yMode val="edge"/>
          <c:x val="0.19660051442143145"/>
          <c:y val="6.31419199699061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1337962962962964"/>
          <c:w val="0.82960892388451446"/>
          <c:h val="0.67922098279381737"/>
        </c:manualLayout>
      </c:layout>
      <c:barChart>
        <c:barDir val="col"/>
        <c:grouping val="clustered"/>
        <c:varyColors val="0"/>
        <c:ser>
          <c:idx val="0"/>
          <c:order val="0"/>
          <c:tx>
            <c:strRef>
              <c:f>'Age Vs Gender'!$B$3:$B$4</c:f>
              <c:strCache>
                <c:ptCount val="1"/>
                <c:pt idx="0">
                  <c:v>Female</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Gender'!$A$5:$A$7</c:f>
              <c:strCache>
                <c:ptCount val="3"/>
                <c:pt idx="0">
                  <c:v>Adult</c:v>
                </c:pt>
                <c:pt idx="1">
                  <c:v>Senior</c:v>
                </c:pt>
                <c:pt idx="2">
                  <c:v>Teenager</c:v>
                </c:pt>
              </c:strCache>
            </c:strRef>
          </c:cat>
          <c:val>
            <c:numRef>
              <c:f>'Age Vs Gender'!$B$5:$B$7</c:f>
              <c:numCache>
                <c:formatCode>0.00%</c:formatCode>
                <c:ptCount val="3"/>
                <c:pt idx="0">
                  <c:v>0.2700723853897995</c:v>
                </c:pt>
                <c:pt idx="1">
                  <c:v>0</c:v>
                </c:pt>
                <c:pt idx="2">
                  <c:v>0.14429114686060796</c:v>
                </c:pt>
              </c:numCache>
            </c:numRef>
          </c:val>
          <c:extLst>
            <c:ext xmlns:c16="http://schemas.microsoft.com/office/drawing/2014/chart" uri="{C3380CC4-5D6E-409C-BE32-E72D297353CC}">
              <c16:uniqueId val="{00000004-6FAD-4358-A231-048A0236B992}"/>
            </c:ext>
          </c:extLst>
        </c:ser>
        <c:ser>
          <c:idx val="1"/>
          <c:order val="1"/>
          <c:tx>
            <c:strRef>
              <c:f>'Age Vs Gender'!$C$3:$C$4</c:f>
              <c:strCache>
                <c:ptCount val="1"/>
                <c:pt idx="0">
                  <c:v>Male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Gender'!$A$5:$A$7</c:f>
              <c:strCache>
                <c:ptCount val="3"/>
                <c:pt idx="0">
                  <c:v>Adult</c:v>
                </c:pt>
                <c:pt idx="1">
                  <c:v>Senior</c:v>
                </c:pt>
                <c:pt idx="2">
                  <c:v>Teenager</c:v>
                </c:pt>
              </c:strCache>
            </c:strRef>
          </c:cat>
          <c:val>
            <c:numRef>
              <c:f>'Age Vs Gender'!$C$5:$C$7</c:f>
              <c:numCache>
                <c:formatCode>0.00%</c:formatCode>
                <c:ptCount val="3"/>
                <c:pt idx="0">
                  <c:v>0.36987025445006189</c:v>
                </c:pt>
                <c:pt idx="1">
                  <c:v>6.9473333888010649E-2</c:v>
                </c:pt>
                <c:pt idx="2">
                  <c:v>0.14629287941152</c:v>
                </c:pt>
              </c:numCache>
            </c:numRef>
          </c:val>
          <c:extLst>
            <c:ext xmlns:c16="http://schemas.microsoft.com/office/drawing/2014/chart" uri="{C3380CC4-5D6E-409C-BE32-E72D297353CC}">
              <c16:uniqueId val="{00000005-6FAD-4358-A231-048A0236B992}"/>
            </c:ext>
          </c:extLst>
        </c:ser>
        <c:dLbls>
          <c:showLegendKey val="0"/>
          <c:showVal val="0"/>
          <c:showCatName val="0"/>
          <c:showSerName val="0"/>
          <c:showPercent val="0"/>
          <c:showBubbleSize val="0"/>
        </c:dLbls>
        <c:gapWidth val="219"/>
        <c:overlap val="-27"/>
        <c:axId val="1311892479"/>
        <c:axId val="1311891231"/>
      </c:barChart>
      <c:catAx>
        <c:axId val="131189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1231"/>
        <c:crosses val="autoZero"/>
        <c:auto val="1"/>
        <c:lblAlgn val="ctr"/>
        <c:lblOffset val="100"/>
        <c:noMultiLvlLbl val="0"/>
      </c:catAx>
      <c:valAx>
        <c:axId val="1311891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2479"/>
        <c:crosses val="autoZero"/>
        <c:crossBetween val="between"/>
      </c:valAx>
      <c:spPr>
        <a:noFill/>
        <a:ln>
          <a:noFill/>
        </a:ln>
        <a:effectLst/>
      </c:spPr>
    </c:plotArea>
    <c:legend>
      <c:legendPos val="r"/>
      <c:layout>
        <c:manualLayout>
          <c:xMode val="edge"/>
          <c:yMode val="edge"/>
          <c:x val="0.68459273840769908"/>
          <c:y val="4.2244823563721209E-2"/>
          <c:w val="0.13927334503004468"/>
          <c:h val="0.18508021057867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[dashbord3.xlsx]channel!PivotTable7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85000"/>
              <a:lumOff val="1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4">
              <a:lumMod val="50000"/>
            </a:schemeClr>
          </a:solidFill>
          <a:ln w="19050">
            <a:solidFill>
              <a:schemeClr val="lt1"/>
            </a:solidFill>
          </a:ln>
          <a:effectLst/>
        </c:spPr>
      </c:pivotFmt>
      <c:pivotFmt>
        <c:idx val="4"/>
        <c:spPr>
          <a:solidFill>
            <a:schemeClr val="bg1">
              <a:lumMod val="50000"/>
            </a:schemeClr>
          </a:solidFill>
          <a:ln w="19050">
            <a:solidFill>
              <a:schemeClr val="lt1"/>
            </a:solidFill>
          </a:ln>
          <a:effectLst/>
        </c:spPr>
        <c:dLbl>
          <c:idx val="0"/>
          <c:layout>
            <c:manualLayout>
              <c:x val="4.0106951871657755E-2"/>
              <c:y val="-1.1110982756090176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50000"/>
            </a:schemeClr>
          </a:solidFill>
          <a:ln w="19050">
            <a:solidFill>
              <a:schemeClr val="lt1"/>
            </a:solidFill>
          </a:ln>
          <a:effectLst/>
        </c:spPr>
      </c:pivotFmt>
      <c:pivotFmt>
        <c:idx val="8"/>
        <c:spPr>
          <a:solidFill>
            <a:schemeClr val="accent2">
              <a:lumMod val="50000"/>
            </a:schemeClr>
          </a:solidFill>
          <a:ln w="19050">
            <a:solidFill>
              <a:schemeClr val="lt1"/>
            </a:solidFill>
          </a:ln>
          <a:effectLst/>
        </c:spPr>
      </c:pivotFmt>
      <c:pivotFmt>
        <c:idx val="9"/>
        <c:spPr>
          <a:solidFill>
            <a:schemeClr val="bg1">
              <a:lumMod val="50000"/>
            </a:schemeClr>
          </a:solidFill>
          <a:ln w="19050">
            <a:solidFill>
              <a:schemeClr val="lt1"/>
            </a:solidFill>
          </a:ln>
          <a:effectLst/>
        </c:spPr>
        <c:dLbl>
          <c:idx val="0"/>
          <c:layout>
            <c:manualLayout>
              <c:x val="4.0106951871657755E-2"/>
              <c:y val="-1.1110982756090176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50000"/>
            </a:schemeClr>
          </a:solidFill>
          <a:ln w="19050">
            <a:solidFill>
              <a:schemeClr val="lt1"/>
            </a:solidFill>
          </a:ln>
          <a:effectLst/>
        </c:spPr>
      </c:pivotFmt>
      <c:pivotFmt>
        <c:idx val="11"/>
        <c:spPr>
          <a:solidFill>
            <a:schemeClr val="tx1">
              <a:lumMod val="85000"/>
              <a:lumOff val="1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50000"/>
            </a:schemeClr>
          </a:solidFill>
          <a:ln w="19050">
            <a:solidFill>
              <a:schemeClr val="lt1"/>
            </a:solidFill>
          </a:ln>
          <a:effectLst/>
        </c:spPr>
      </c:pivotFmt>
      <c:pivotFmt>
        <c:idx val="14"/>
        <c:spPr>
          <a:solidFill>
            <a:schemeClr val="accent2">
              <a:lumMod val="50000"/>
            </a:schemeClr>
          </a:solidFill>
          <a:ln w="19050">
            <a:solidFill>
              <a:schemeClr val="lt1"/>
            </a:solidFill>
          </a:ln>
          <a:effectLst/>
        </c:spPr>
      </c:pivotFmt>
      <c:pivotFmt>
        <c:idx val="15"/>
        <c:spPr>
          <a:solidFill>
            <a:schemeClr val="bg1">
              <a:lumMod val="50000"/>
            </a:schemeClr>
          </a:solidFill>
          <a:ln w="19050">
            <a:solidFill>
              <a:schemeClr val="lt1"/>
            </a:solidFill>
          </a:ln>
          <a:effectLst/>
        </c:spPr>
        <c:dLbl>
          <c:idx val="0"/>
          <c:layout>
            <c:manualLayout>
              <c:x val="4.0106951871657755E-2"/>
              <c:y val="-1.1110982756090176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lumMod val="50000"/>
            </a:schemeClr>
          </a:solidFill>
          <a:ln w="19050">
            <a:solidFill>
              <a:schemeClr val="lt1"/>
            </a:solidFill>
          </a:ln>
          <a:effectLst/>
        </c:spPr>
      </c:pivotFmt>
      <c:pivotFmt>
        <c:idx val="17"/>
        <c:spPr>
          <a:solidFill>
            <a:schemeClr val="tx1">
              <a:lumMod val="85000"/>
              <a:lumOff val="15000"/>
            </a:schemeClr>
          </a:solidFill>
          <a:ln w="19050">
            <a:solidFill>
              <a:schemeClr val="lt1"/>
            </a:solidFill>
          </a:ln>
          <a:effectLst/>
        </c:spPr>
      </c:pivotFmt>
      <c:pivotFmt>
        <c:idx val="18"/>
        <c:spPr>
          <a:solidFill>
            <a:schemeClr val="accent2">
              <a:lumMod val="50000"/>
            </a:schemeClr>
          </a:solidFill>
          <a:ln w="19050">
            <a:solidFill>
              <a:schemeClr val="lt1"/>
            </a:solidFill>
          </a:ln>
          <a:effectLst/>
        </c:spPr>
      </c:pivotFmt>
    </c:pivotFmts>
    <c:plotArea>
      <c:layout/>
      <c:pieChart>
        <c:varyColors val="1"/>
        <c:ser>
          <c:idx val="0"/>
          <c:order val="0"/>
          <c:tx>
            <c:strRef>
              <c:f>channel!$B$3</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1BC2-4D2C-BD85-389F9E125C0B}"/>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1BC2-4D2C-BD85-389F9E125C0B}"/>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1BC2-4D2C-BD85-389F9E125C0B}"/>
              </c:ext>
            </c:extLst>
          </c:dPt>
          <c:dPt>
            <c:idx val="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7-1BC2-4D2C-BD85-389F9E125C0B}"/>
              </c:ext>
            </c:extLst>
          </c:dPt>
          <c:dPt>
            <c:idx val="4"/>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9-1BC2-4D2C-BD85-389F9E125C0B}"/>
              </c:ext>
            </c:extLst>
          </c:dPt>
          <c:dLbls>
            <c:dLbl>
              <c:idx val="2"/>
              <c:layout>
                <c:manualLayout>
                  <c:x val="4.0106951871657755E-2"/>
                  <c:y val="-1.1110982756090176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C2-4D2C-BD85-389F9E125C0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channel!$A$4:$A$8</c:f>
              <c:strCache>
                <c:ptCount val="5"/>
                <c:pt idx="0">
                  <c:v>Amazon</c:v>
                </c:pt>
                <c:pt idx="1">
                  <c:v>Daraz</c:v>
                </c:pt>
                <c:pt idx="2">
                  <c:v>Facebook</c:v>
                </c:pt>
                <c:pt idx="3">
                  <c:v>Instagram</c:v>
                </c:pt>
                <c:pt idx="4">
                  <c:v>Website</c:v>
                </c:pt>
              </c:strCache>
            </c:strRef>
          </c:cat>
          <c:val>
            <c:numRef>
              <c:f>channel!$B$4:$B$8</c:f>
              <c:numCache>
                <c:formatCode>General</c:formatCode>
                <c:ptCount val="5"/>
                <c:pt idx="0">
                  <c:v>9</c:v>
                </c:pt>
                <c:pt idx="1">
                  <c:v>10</c:v>
                </c:pt>
                <c:pt idx="2">
                  <c:v>9</c:v>
                </c:pt>
                <c:pt idx="3">
                  <c:v>8</c:v>
                </c:pt>
                <c:pt idx="4">
                  <c:v>14</c:v>
                </c:pt>
              </c:numCache>
            </c:numRef>
          </c:val>
          <c:extLst>
            <c:ext xmlns:c16="http://schemas.microsoft.com/office/drawing/2014/chart" uri="{C3380CC4-5D6E-409C-BE32-E72D297353CC}">
              <c16:uniqueId val="{0000000D-2F82-4342-875A-209B555331E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[dashbord3.xlsx]order vs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Vs</a:t>
            </a:r>
            <a:r>
              <a:rPr lang="en-US" baseline="0"/>
              <a:t> Sales</a:t>
            </a:r>
            <a:endParaRPr lang="en-US"/>
          </a:p>
        </c:rich>
      </c:tx>
      <c:layout>
        <c:manualLayout>
          <c:xMode val="edge"/>
          <c:yMode val="edge"/>
          <c:x val="0.22060411198600174"/>
          <c:y val="9.72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5504629629629627"/>
          <c:w val="0.75404549431321088"/>
          <c:h val="0.63755431612715063"/>
        </c:manualLayout>
      </c:layout>
      <c:barChart>
        <c:barDir val="col"/>
        <c:grouping val="clustered"/>
        <c:varyColors val="0"/>
        <c:ser>
          <c:idx val="0"/>
          <c:order val="0"/>
          <c:tx>
            <c:strRef>
              <c:f>'order vs sales'!$B$3</c:f>
              <c:strCache>
                <c:ptCount val="1"/>
                <c:pt idx="0">
                  <c:v>Sum of Amount</c:v>
                </c:pt>
              </c:strCache>
            </c:strRef>
          </c:tx>
          <c:spPr>
            <a:solidFill>
              <a:srgbClr val="C00000"/>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9893</c:v>
                </c:pt>
                <c:pt idx="1">
                  <c:v>18993</c:v>
                </c:pt>
                <c:pt idx="2">
                  <c:v>15895</c:v>
                </c:pt>
                <c:pt idx="3">
                  <c:v>11193</c:v>
                </c:pt>
                <c:pt idx="4">
                  <c:v>15094</c:v>
                </c:pt>
                <c:pt idx="5">
                  <c:v>18595</c:v>
                </c:pt>
                <c:pt idx="6">
                  <c:v>16995</c:v>
                </c:pt>
                <c:pt idx="7">
                  <c:v>13092</c:v>
                </c:pt>
                <c:pt idx="8">
                  <c:v>17594</c:v>
                </c:pt>
                <c:pt idx="9">
                  <c:v>34491</c:v>
                </c:pt>
                <c:pt idx="10">
                  <c:v>8194</c:v>
                </c:pt>
                <c:pt idx="11">
                  <c:v>24294</c:v>
                </c:pt>
              </c:numCache>
            </c:numRef>
          </c:val>
          <c:extLst>
            <c:ext xmlns:c16="http://schemas.microsoft.com/office/drawing/2014/chart" uri="{C3380CC4-5D6E-409C-BE32-E72D297353CC}">
              <c16:uniqueId val="{00000005-AFCB-42AB-85BE-1EE0F1AD4350}"/>
            </c:ext>
          </c:extLst>
        </c:ser>
        <c:ser>
          <c:idx val="1"/>
          <c:order val="1"/>
          <c:tx>
            <c:strRef>
              <c:f>'order vs sales'!$C$3</c:f>
              <c:strCache>
                <c:ptCount val="1"/>
                <c:pt idx="0">
                  <c:v>Count of Cust ID</c:v>
                </c:pt>
              </c:strCache>
            </c:strRef>
          </c:tx>
          <c:spPr>
            <a:solidFill>
              <a:schemeClr val="accent2"/>
            </a:solidFill>
            <a:ln>
              <a:solidFill>
                <a:schemeClr val="tx1"/>
              </a:solid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4</c:v>
                </c:pt>
                <c:pt idx="1">
                  <c:v>4</c:v>
                </c:pt>
                <c:pt idx="2">
                  <c:v>4</c:v>
                </c:pt>
                <c:pt idx="3">
                  <c:v>4</c:v>
                </c:pt>
                <c:pt idx="4">
                  <c:v>4</c:v>
                </c:pt>
                <c:pt idx="5">
                  <c:v>4</c:v>
                </c:pt>
                <c:pt idx="6">
                  <c:v>4</c:v>
                </c:pt>
                <c:pt idx="7">
                  <c:v>4</c:v>
                </c:pt>
                <c:pt idx="8">
                  <c:v>4</c:v>
                </c:pt>
                <c:pt idx="9">
                  <c:v>5</c:v>
                </c:pt>
                <c:pt idx="10">
                  <c:v>4</c:v>
                </c:pt>
                <c:pt idx="11">
                  <c:v>5</c:v>
                </c:pt>
              </c:numCache>
            </c:numRef>
          </c:val>
          <c:extLst>
            <c:ext xmlns:c16="http://schemas.microsoft.com/office/drawing/2014/chart" uri="{C3380CC4-5D6E-409C-BE32-E72D297353CC}">
              <c16:uniqueId val="{00000006-AFCB-42AB-85BE-1EE0F1AD4350}"/>
            </c:ext>
          </c:extLst>
        </c:ser>
        <c:dLbls>
          <c:showLegendKey val="0"/>
          <c:showVal val="0"/>
          <c:showCatName val="0"/>
          <c:showSerName val="0"/>
          <c:showPercent val="0"/>
          <c:showBubbleSize val="0"/>
        </c:dLbls>
        <c:gapWidth val="219"/>
        <c:overlap val="-27"/>
        <c:axId val="1311892063"/>
        <c:axId val="1311890399"/>
      </c:barChart>
      <c:catAx>
        <c:axId val="13118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0399"/>
        <c:crosses val="autoZero"/>
        <c:auto val="1"/>
        <c:lblAlgn val="ctr"/>
        <c:lblOffset val="100"/>
        <c:noMultiLvlLbl val="0"/>
      </c:catAx>
      <c:valAx>
        <c:axId val="1311890399"/>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2063"/>
        <c:crosses val="autoZero"/>
        <c:crossBetween val="between"/>
      </c:valAx>
      <c:spPr>
        <a:noFill/>
        <a:ln>
          <a:noFill/>
        </a:ln>
        <a:effectLst/>
      </c:spPr>
    </c:plotArea>
    <c:legend>
      <c:legendPos val="r"/>
      <c:layout>
        <c:manualLayout>
          <c:xMode val="edge"/>
          <c:yMode val="edge"/>
          <c:x val="0.49031846019247594"/>
          <c:y val="7.4860382035578849E-2"/>
          <c:w val="0.44857042869641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[dashbord3.xlsx]female vs man!PivotTable2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Female Vs 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85000"/>
              <a:lumOff val="15000"/>
            </a:schemeClr>
          </a:solidFill>
          <a:ln w="19050">
            <a:solidFill>
              <a:schemeClr val="lt1"/>
            </a:solidFill>
          </a:ln>
          <a:effectLst/>
        </c:spPr>
        <c:dLbl>
          <c:idx val="0"/>
          <c:layout>
            <c:manualLayout>
              <c:x val="-0.2145682001614205"/>
              <c:y val="5.555555555555564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50000"/>
            </a:schemeClr>
          </a:solidFill>
          <a:ln w="19050">
            <a:solidFill>
              <a:schemeClr val="lt1"/>
            </a:solidFill>
          </a:ln>
          <a:effectLst/>
        </c:spPr>
        <c:dLbl>
          <c:idx val="0"/>
          <c:layout>
            <c:manualLayout>
              <c:x val="0.2034571949692729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03940185442921"/>
                  <c:h val="0.11673082531350248"/>
                </c:manualLayout>
              </c15:layout>
            </c:ext>
          </c:extLst>
        </c:dLbl>
      </c:pivotFmt>
    </c:pivotFmts>
    <c:plotArea>
      <c:layout/>
      <c:pieChart>
        <c:varyColors val="1"/>
        <c:ser>
          <c:idx val="0"/>
          <c:order val="0"/>
          <c:tx>
            <c:strRef>
              <c:f>'female vs man'!$B$3</c:f>
              <c:strCache>
                <c:ptCount val="1"/>
                <c:pt idx="0">
                  <c:v>Total</c:v>
                </c:pt>
              </c:strCache>
            </c:strRef>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6C27-446D-918A-85CE885442FF}"/>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6C27-446D-918A-85CE885442FF}"/>
              </c:ext>
            </c:extLst>
          </c:dPt>
          <c:dLbls>
            <c:dLbl>
              <c:idx val="0"/>
              <c:layout>
                <c:manualLayout>
                  <c:x val="-0.2145682001614205"/>
                  <c:y val="5.55555555555556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27-446D-918A-85CE885442FF}"/>
                </c:ext>
              </c:extLst>
            </c:dLbl>
            <c:dLbl>
              <c:idx val="1"/>
              <c:layout>
                <c:manualLayout>
                  <c:x val="0.20345719496927292"/>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003940185442921"/>
                      <c:h val="0.11673082531350248"/>
                    </c:manualLayout>
                  </c15:layout>
                </c:ext>
                <c:ext xmlns:c16="http://schemas.microsoft.com/office/drawing/2014/chart" uri="{C3380CC4-5D6E-409C-BE32-E72D297353CC}">
                  <c16:uniqueId val="{00000003-6C27-446D-918A-85CE885442F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'female vs man'!$A$4:$A$5</c:f>
              <c:strCache>
                <c:ptCount val="2"/>
                <c:pt idx="0">
                  <c:v>Female</c:v>
                </c:pt>
                <c:pt idx="1">
                  <c:v>Male</c:v>
                </c:pt>
              </c:strCache>
            </c:strRef>
          </c:cat>
          <c:val>
            <c:numRef>
              <c:f>'female vs man'!$B$4:$B$5</c:f>
              <c:numCache>
                <c:formatCode>General</c:formatCode>
                <c:ptCount val="2"/>
                <c:pt idx="0">
                  <c:v>84664</c:v>
                </c:pt>
                <c:pt idx="1">
                  <c:v>119659</c:v>
                </c:pt>
              </c:numCache>
            </c:numRef>
          </c:val>
          <c:extLst>
            <c:ext xmlns:c16="http://schemas.microsoft.com/office/drawing/2014/chart" uri="{C3380CC4-5D6E-409C-BE32-E72D297353CC}">
              <c16:uniqueId val="{00000005-0980-4C1C-9C6D-7A0F740AF8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901444522824475"/>
          <c:y val="0.14430482648002332"/>
          <c:w val="0.1716973937579836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[dashbord3.xlsx]oder status!PivotTable3</c:name>
    <c:fmtId val="0"/>
  </c:pivotSource>
  <c:chart>
    <c:title>
      <c:tx>
        <c:rich>
          <a:bodyPr rot="0" spcFirstLastPara="1" vertOverflow="ellipsis" vert="horz" wrap="square" anchor="ctr" anchorCtr="1"/>
          <a:lstStyle/>
          <a:p>
            <a:pPr>
              <a:defRPr sz="1400" b="0" i="0" u="none" strike="noStrike" kern="1200" spc="0" baseline="0">
                <a:solidFill>
                  <a:schemeClr val="tx1">
                    <a:alpha val="32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32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3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50000"/>
            </a:schemeClr>
          </a:solidFill>
          <a:ln w="19050">
            <a:solidFill>
              <a:schemeClr val="lt1"/>
            </a:solidFill>
          </a:ln>
          <a:effectLst/>
        </c:spPr>
        <c:dLbl>
          <c:idx val="0"/>
          <c:layout>
            <c:manualLayout>
              <c:x val="-0.18881626724763986"/>
              <c:y val="-0.1250000000000000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32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50000"/>
            </a:schemeClr>
          </a:solidFill>
          <a:ln w="19050">
            <a:solidFill>
              <a:schemeClr val="lt1"/>
            </a:solidFill>
          </a:ln>
          <a:effectLst/>
        </c:spPr>
      </c:pivotFmt>
      <c:pivotFmt>
        <c:idx val="3"/>
        <c:spPr>
          <a:solidFill>
            <a:schemeClr val="accent4">
              <a:lumMod val="5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6">
              <a:lumMod val="50000"/>
            </a:schemeClr>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s>
    <c:plotArea>
      <c:layout>
        <c:manualLayout>
          <c:layoutTarget val="inner"/>
          <c:xMode val="edge"/>
          <c:yMode val="edge"/>
          <c:x val="0.23825130518815868"/>
          <c:y val="0.29610819480898221"/>
          <c:w val="0.52349767553565607"/>
          <c:h val="0.66745953630796151"/>
        </c:manualLayout>
      </c:layout>
      <c:pieChart>
        <c:varyColors val="1"/>
        <c:ser>
          <c:idx val="0"/>
          <c:order val="0"/>
          <c:tx>
            <c:strRef>
              <c:f>'oder status'!$B$3</c:f>
              <c:strCache>
                <c:ptCount val="1"/>
                <c:pt idx="0">
                  <c:v>Total</c:v>
                </c:pt>
              </c:strCache>
            </c:strRef>
          </c:tx>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1-D99F-4B73-8B3D-B0A49175D298}"/>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D99F-4B73-8B3D-B0A49175D298}"/>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D99F-4B73-8B3D-B0A49175D298}"/>
              </c:ext>
            </c:extLst>
          </c:dPt>
          <c:dPt>
            <c:idx val="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7-D99F-4B73-8B3D-B0A49175D298}"/>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D99F-4B73-8B3D-B0A49175D298}"/>
              </c:ext>
            </c:extLst>
          </c:dPt>
          <c:dPt>
            <c:idx val="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B-D99F-4B73-8B3D-B0A49175D298}"/>
              </c:ext>
            </c:extLst>
          </c:dPt>
          <c:dLbls>
            <c:dLbl>
              <c:idx val="1"/>
              <c:layout>
                <c:manualLayout>
                  <c:x val="-0.18881626724763986"/>
                  <c:y val="-0.125000000000000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9F-4B73-8B3D-B0A49175D298}"/>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alpha val="32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'oder status'!$A$4:$A$9</c:f>
              <c:strCache>
                <c:ptCount val="6"/>
                <c:pt idx="0">
                  <c:v>Cancelled</c:v>
                </c:pt>
                <c:pt idx="1">
                  <c:v>Delivered</c:v>
                </c:pt>
                <c:pt idx="2">
                  <c:v>In Transit</c:v>
                </c:pt>
                <c:pt idx="3">
                  <c:v>Pending</c:v>
                </c:pt>
                <c:pt idx="4">
                  <c:v>Returned</c:v>
                </c:pt>
                <c:pt idx="5">
                  <c:v>Shipped</c:v>
                </c:pt>
              </c:strCache>
            </c:strRef>
          </c:cat>
          <c:val>
            <c:numRef>
              <c:f>'oder status'!$B$4:$B$9</c:f>
              <c:numCache>
                <c:formatCode>General</c:formatCode>
                <c:ptCount val="6"/>
                <c:pt idx="0">
                  <c:v>4</c:v>
                </c:pt>
                <c:pt idx="1">
                  <c:v>25</c:v>
                </c:pt>
                <c:pt idx="2">
                  <c:v>5</c:v>
                </c:pt>
                <c:pt idx="3">
                  <c:v>6</c:v>
                </c:pt>
                <c:pt idx="4">
                  <c:v>5</c:v>
                </c:pt>
                <c:pt idx="5">
                  <c:v>5</c:v>
                </c:pt>
              </c:numCache>
            </c:numRef>
          </c:val>
          <c:extLst>
            <c:ext xmlns:c16="http://schemas.microsoft.com/office/drawing/2014/chart" uri="{C3380CC4-5D6E-409C-BE32-E72D297353CC}">
              <c16:uniqueId val="{0000003A-FB67-4577-B916-96418638B1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alpha val="96000"/>
        </a:schemeClr>
      </a:solidFill>
      <a:round/>
    </a:ln>
    <a:effectLst/>
  </c:spPr>
  <c:txPr>
    <a:bodyPr/>
    <a:lstStyle/>
    <a:p>
      <a:pPr>
        <a:defRPr>
          <a:solidFill>
            <a:schemeClr val="tx1">
              <a:alpha val="32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[dashbord3.xlsx]Top 3 States!PivotTable5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3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9024496937882"/>
          <c:y val="0.17171296296296296"/>
          <c:w val="0.70329527559055116"/>
          <c:h val="0.72088764946048411"/>
        </c:manualLayout>
      </c:layout>
      <c:barChart>
        <c:barDir val="bar"/>
        <c:grouping val="clustered"/>
        <c:varyColors val="0"/>
        <c:ser>
          <c:idx val="0"/>
          <c:order val="0"/>
          <c:tx>
            <c:strRef>
              <c:f>'Top 3 States'!$B$3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States'!$A$4:$A$6</c:f>
              <c:strCache>
                <c:ptCount val="3"/>
                <c:pt idx="0">
                  <c:v>Bagmati Province</c:v>
                </c:pt>
                <c:pt idx="1">
                  <c:v>Koshi Province</c:v>
                </c:pt>
                <c:pt idx="2">
                  <c:v>Gandaki Province</c:v>
                </c:pt>
              </c:strCache>
            </c:strRef>
          </c:cat>
          <c:val>
            <c:numRef>
              <c:f>'Top 3 States'!$B$4:$B$6</c:f>
              <c:numCache>
                <c:formatCode>General</c:formatCode>
                <c:ptCount val="3"/>
                <c:pt idx="0">
                  <c:v>96464</c:v>
                </c:pt>
                <c:pt idx="1">
                  <c:v>43484</c:v>
                </c:pt>
                <c:pt idx="2">
                  <c:v>29488</c:v>
                </c:pt>
              </c:numCache>
            </c:numRef>
          </c:val>
          <c:extLst>
            <c:ext xmlns:c16="http://schemas.microsoft.com/office/drawing/2014/chart" uri="{C3380CC4-5D6E-409C-BE32-E72D297353CC}">
              <c16:uniqueId val="{00000003-2A4B-4778-AC68-854BEAF44FF2}"/>
            </c:ext>
          </c:extLst>
        </c:ser>
        <c:dLbls>
          <c:showLegendKey val="0"/>
          <c:showVal val="0"/>
          <c:showCatName val="0"/>
          <c:showSerName val="0"/>
          <c:showPercent val="0"/>
          <c:showBubbleSize val="0"/>
        </c:dLbls>
        <c:gapWidth val="182"/>
        <c:axId val="1554301711"/>
        <c:axId val="1554289231"/>
      </c:barChart>
      <c:catAx>
        <c:axId val="155430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89231"/>
        <c:crosses val="autoZero"/>
        <c:auto val="1"/>
        <c:lblAlgn val="ctr"/>
        <c:lblOffset val="100"/>
        <c:noMultiLvlLbl val="0"/>
      </c:catAx>
      <c:valAx>
        <c:axId val="1554289231"/>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01711"/>
        <c:crosses val="autoZero"/>
        <c:crossBetween val="between"/>
      </c:valAx>
      <c:spPr>
        <a:noFill/>
        <a:ln>
          <a:noFill/>
        </a:ln>
        <a:effectLst/>
      </c:spPr>
    </c:plotArea>
    <c:legend>
      <c:legendPos val="r"/>
      <c:layout>
        <c:manualLayout>
          <c:xMode val="edge"/>
          <c:yMode val="edge"/>
          <c:x val="0.69331474190726161"/>
          <c:y val="0.17410834062408864"/>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[dashbord3.xlsx]Age Vs Gender!PivotTable6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Age Vs Gender</a:t>
            </a:r>
            <a:endParaRPr lang="en-US"/>
          </a:p>
        </c:rich>
      </c:tx>
      <c:layout>
        <c:manualLayout>
          <c:xMode val="edge"/>
          <c:yMode val="edge"/>
          <c:x val="0.31514566929133858"/>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1337962962962964"/>
          <c:w val="0.82960892388451446"/>
          <c:h val="0.67922098279381737"/>
        </c:manualLayout>
      </c:layout>
      <c:barChart>
        <c:barDir val="col"/>
        <c:grouping val="clustered"/>
        <c:varyColors val="0"/>
        <c:ser>
          <c:idx val="0"/>
          <c:order val="0"/>
          <c:tx>
            <c:strRef>
              <c:f>'Age Vs Gender'!$B$3:$B$4</c:f>
              <c:strCache>
                <c:ptCount val="1"/>
                <c:pt idx="0">
                  <c:v>Female</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Gender'!$A$5:$A$7</c:f>
              <c:strCache>
                <c:ptCount val="3"/>
                <c:pt idx="0">
                  <c:v>Adult</c:v>
                </c:pt>
                <c:pt idx="1">
                  <c:v>Senior</c:v>
                </c:pt>
                <c:pt idx="2">
                  <c:v>Teenager</c:v>
                </c:pt>
              </c:strCache>
            </c:strRef>
          </c:cat>
          <c:val>
            <c:numRef>
              <c:f>'Age Vs Gender'!$B$5:$B$7</c:f>
              <c:numCache>
                <c:formatCode>0.00%</c:formatCode>
                <c:ptCount val="3"/>
                <c:pt idx="0">
                  <c:v>0.2700723853897995</c:v>
                </c:pt>
                <c:pt idx="1">
                  <c:v>0</c:v>
                </c:pt>
                <c:pt idx="2">
                  <c:v>0.14429114686060796</c:v>
                </c:pt>
              </c:numCache>
            </c:numRef>
          </c:val>
          <c:extLst>
            <c:ext xmlns:c16="http://schemas.microsoft.com/office/drawing/2014/chart" uri="{C3380CC4-5D6E-409C-BE32-E72D297353CC}">
              <c16:uniqueId val="{00000004-2624-4A5B-9660-781F9BCB4DD0}"/>
            </c:ext>
          </c:extLst>
        </c:ser>
        <c:ser>
          <c:idx val="1"/>
          <c:order val="1"/>
          <c:tx>
            <c:strRef>
              <c:f>'Age Vs Gender'!$C$3:$C$4</c:f>
              <c:strCache>
                <c:ptCount val="1"/>
                <c:pt idx="0">
                  <c:v>Male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Gender'!$A$5:$A$7</c:f>
              <c:strCache>
                <c:ptCount val="3"/>
                <c:pt idx="0">
                  <c:v>Adult</c:v>
                </c:pt>
                <c:pt idx="1">
                  <c:v>Senior</c:v>
                </c:pt>
                <c:pt idx="2">
                  <c:v>Teenager</c:v>
                </c:pt>
              </c:strCache>
            </c:strRef>
          </c:cat>
          <c:val>
            <c:numRef>
              <c:f>'Age Vs Gender'!$C$5:$C$7</c:f>
              <c:numCache>
                <c:formatCode>0.00%</c:formatCode>
                <c:ptCount val="3"/>
                <c:pt idx="0">
                  <c:v>0.36987025445006189</c:v>
                </c:pt>
                <c:pt idx="1">
                  <c:v>6.9473333888010649E-2</c:v>
                </c:pt>
                <c:pt idx="2">
                  <c:v>0.14629287941152</c:v>
                </c:pt>
              </c:numCache>
            </c:numRef>
          </c:val>
          <c:extLst>
            <c:ext xmlns:c16="http://schemas.microsoft.com/office/drawing/2014/chart" uri="{C3380CC4-5D6E-409C-BE32-E72D297353CC}">
              <c16:uniqueId val="{00000005-2624-4A5B-9660-781F9BCB4DD0}"/>
            </c:ext>
          </c:extLst>
        </c:ser>
        <c:dLbls>
          <c:showLegendKey val="0"/>
          <c:showVal val="0"/>
          <c:showCatName val="0"/>
          <c:showSerName val="0"/>
          <c:showPercent val="0"/>
          <c:showBubbleSize val="0"/>
        </c:dLbls>
        <c:gapWidth val="219"/>
        <c:overlap val="-27"/>
        <c:axId val="1311892479"/>
        <c:axId val="1311891231"/>
      </c:barChart>
      <c:catAx>
        <c:axId val="131189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1231"/>
        <c:crosses val="autoZero"/>
        <c:auto val="1"/>
        <c:lblAlgn val="ctr"/>
        <c:lblOffset val="100"/>
        <c:noMultiLvlLbl val="0"/>
      </c:catAx>
      <c:valAx>
        <c:axId val="1311891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92479"/>
        <c:crosses val="autoZero"/>
        <c:crossBetween val="between"/>
      </c:valAx>
      <c:spPr>
        <a:noFill/>
        <a:ln>
          <a:noFill/>
        </a:ln>
        <a:effectLst/>
      </c:spPr>
    </c:plotArea>
    <c:legend>
      <c:legendPos val="r"/>
      <c:layout>
        <c:manualLayout>
          <c:xMode val="edge"/>
          <c:yMode val="edge"/>
          <c:x val="0.68459273840769908"/>
          <c:y val="4.2244823563721209E-2"/>
          <c:w val="0.2209628171478564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[dashbord3.xlsx]channel!PivotTable7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85000"/>
              <a:lumOff val="1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4">
              <a:lumMod val="50000"/>
            </a:schemeClr>
          </a:solidFill>
          <a:ln w="19050">
            <a:solidFill>
              <a:schemeClr val="lt1"/>
            </a:solidFill>
          </a:ln>
          <a:effectLst/>
        </c:spPr>
      </c:pivotFmt>
      <c:pivotFmt>
        <c:idx val="4"/>
        <c:spPr>
          <a:solidFill>
            <a:schemeClr val="bg1">
              <a:lumMod val="50000"/>
            </a:schemeClr>
          </a:solidFill>
          <a:ln w="19050">
            <a:solidFill>
              <a:schemeClr val="lt1"/>
            </a:solidFill>
          </a:ln>
          <a:effectLst/>
        </c:spPr>
        <c:dLbl>
          <c:idx val="0"/>
          <c:layout>
            <c:manualLayout>
              <c:x val="4.0106951871657755E-2"/>
              <c:y val="-1.1110982756090176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w="19050">
            <a:solidFill>
              <a:schemeClr val="lt1"/>
            </a:solidFill>
          </a:ln>
          <a:effectLst/>
        </c:spPr>
      </c:pivotFmt>
    </c:pivotFmts>
    <c:plotArea>
      <c:layout/>
      <c:pieChart>
        <c:varyColors val="1"/>
        <c:ser>
          <c:idx val="0"/>
          <c:order val="0"/>
          <c:tx>
            <c:strRef>
              <c:f>channel!$B$3</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35E6-401D-A187-A92FB642AB4A}"/>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35E6-401D-A187-A92FB642AB4A}"/>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35E6-401D-A187-A92FB642AB4A}"/>
              </c:ext>
            </c:extLst>
          </c:dPt>
          <c:dPt>
            <c:idx val="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7-35E6-401D-A187-A92FB642AB4A}"/>
              </c:ext>
            </c:extLst>
          </c:dPt>
          <c:dPt>
            <c:idx val="4"/>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9-35E6-401D-A187-A92FB642AB4A}"/>
              </c:ext>
            </c:extLst>
          </c:dPt>
          <c:dLbls>
            <c:dLbl>
              <c:idx val="2"/>
              <c:layout>
                <c:manualLayout>
                  <c:x val="4.0106951871657755E-2"/>
                  <c:y val="-1.1110982756090176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E6-401D-A187-A92FB642AB4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channel!$A$4:$A$8</c:f>
              <c:strCache>
                <c:ptCount val="5"/>
                <c:pt idx="0">
                  <c:v>Amazon</c:v>
                </c:pt>
                <c:pt idx="1">
                  <c:v>Daraz</c:v>
                </c:pt>
                <c:pt idx="2">
                  <c:v>Facebook</c:v>
                </c:pt>
                <c:pt idx="3">
                  <c:v>Instagram</c:v>
                </c:pt>
                <c:pt idx="4">
                  <c:v>Website</c:v>
                </c:pt>
              </c:strCache>
            </c:strRef>
          </c:cat>
          <c:val>
            <c:numRef>
              <c:f>channel!$B$4:$B$8</c:f>
              <c:numCache>
                <c:formatCode>General</c:formatCode>
                <c:ptCount val="5"/>
                <c:pt idx="0">
                  <c:v>9</c:v>
                </c:pt>
                <c:pt idx="1">
                  <c:v>10</c:v>
                </c:pt>
                <c:pt idx="2">
                  <c:v>9</c:v>
                </c:pt>
                <c:pt idx="3">
                  <c:v>8</c:v>
                </c:pt>
                <c:pt idx="4">
                  <c:v>14</c:v>
                </c:pt>
              </c:numCache>
            </c:numRef>
          </c:val>
          <c:extLst>
            <c:ext xmlns:c16="http://schemas.microsoft.com/office/drawing/2014/chart" uri="{C3380CC4-5D6E-409C-BE32-E72D297353CC}">
              <c16:uniqueId val="{00000008-5A82-4F83-9532-2922B0F9937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576943</xdr:colOff>
      <xdr:row>3</xdr:row>
      <xdr:rowOff>77731</xdr:rowOff>
    </xdr:from>
    <xdr:to>
      <xdr:col>25</xdr:col>
      <xdr:colOff>65316</xdr:colOff>
      <xdr:row>37</xdr:row>
      <xdr:rowOff>172262</xdr:rowOff>
    </xdr:to>
    <xdr:grpSp>
      <xdr:nvGrpSpPr>
        <xdr:cNvPr id="17" name="Group 16">
          <a:extLst>
            <a:ext uri="{FF2B5EF4-FFF2-40B4-BE49-F238E27FC236}">
              <a16:creationId xmlns:a16="http://schemas.microsoft.com/office/drawing/2014/main" id="{A75E24B3-34BB-4FB8-BE97-25C9344BE072}"/>
            </a:ext>
          </a:extLst>
        </xdr:cNvPr>
        <xdr:cNvGrpSpPr/>
      </xdr:nvGrpSpPr>
      <xdr:grpSpPr>
        <a:xfrm>
          <a:off x="3023364" y="619152"/>
          <a:ext cx="12332084" cy="6240663"/>
          <a:chOff x="3298370" y="752644"/>
          <a:chExt cx="12008471" cy="6386474"/>
        </a:xfrm>
      </xdr:grpSpPr>
      <xdr:sp macro="" textlink="">
        <xdr:nvSpPr>
          <xdr:cNvPr id="2" name="Rectangle: Rounded Corners 1">
            <a:extLst>
              <a:ext uri="{FF2B5EF4-FFF2-40B4-BE49-F238E27FC236}">
                <a16:creationId xmlns:a16="http://schemas.microsoft.com/office/drawing/2014/main" id="{662EB4E1-1D7A-4347-B108-38B684CA2744}"/>
              </a:ext>
            </a:extLst>
          </xdr:cNvPr>
          <xdr:cNvSpPr/>
        </xdr:nvSpPr>
        <xdr:spPr>
          <a:xfrm>
            <a:off x="3298370" y="752644"/>
            <a:ext cx="12008471" cy="6386474"/>
          </a:xfrm>
          <a:prstGeom prst="roundRect">
            <a:avLst>
              <a:gd name="adj" fmla="val 2080"/>
            </a:avLst>
          </a:prstGeom>
          <a:solidFill>
            <a:srgbClr val="6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50000"/>
                </a:schemeClr>
              </a:solidFill>
            </a:endParaRPr>
          </a:p>
        </xdr:txBody>
      </xdr:sp>
      <xdr:sp macro="" textlink="">
        <xdr:nvSpPr>
          <xdr:cNvPr id="3" name="Rectangle: Rounded Corners 2">
            <a:extLst>
              <a:ext uri="{FF2B5EF4-FFF2-40B4-BE49-F238E27FC236}">
                <a16:creationId xmlns:a16="http://schemas.microsoft.com/office/drawing/2014/main" id="{41C027AD-99A1-452B-B385-F24D40458641}"/>
              </a:ext>
            </a:extLst>
          </xdr:cNvPr>
          <xdr:cNvSpPr/>
        </xdr:nvSpPr>
        <xdr:spPr>
          <a:xfrm>
            <a:off x="3414563" y="911217"/>
            <a:ext cx="11722411" cy="6041806"/>
          </a:xfrm>
          <a:prstGeom prst="roundRect">
            <a:avLst>
              <a:gd name="adj" fmla="val 2080"/>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50000"/>
                </a:schemeClr>
              </a:solidFill>
            </a:endParaRPr>
          </a:p>
        </xdr:txBody>
      </xdr:sp>
    </xdr:grpSp>
    <xdr:clientData/>
  </xdr:twoCellAnchor>
  <xdr:twoCellAnchor editAs="oneCell">
    <xdr:from>
      <xdr:col>5</xdr:col>
      <xdr:colOff>435430</xdr:colOff>
      <xdr:row>15</xdr:row>
      <xdr:rowOff>184675</xdr:rowOff>
    </xdr:from>
    <xdr:to>
      <xdr:col>7</xdr:col>
      <xdr:colOff>266986</xdr:colOff>
      <xdr:row>35</xdr:row>
      <xdr:rowOff>24254</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A1FA1146-7D4B-436C-B9FB-32041BF1D95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483430" y="2971418"/>
              <a:ext cx="1050756" cy="3540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436577</xdr:colOff>
      <xdr:row>5</xdr:row>
      <xdr:rowOff>2884</xdr:rowOff>
    </xdr:from>
    <xdr:to>
      <xdr:col>24</xdr:col>
      <xdr:colOff>272144</xdr:colOff>
      <xdr:row>35</xdr:row>
      <xdr:rowOff>131201</xdr:rowOff>
    </xdr:to>
    <xdr:grpSp>
      <xdr:nvGrpSpPr>
        <xdr:cNvPr id="16" name="Group 15">
          <a:extLst>
            <a:ext uri="{FF2B5EF4-FFF2-40B4-BE49-F238E27FC236}">
              <a16:creationId xmlns:a16="http://schemas.microsoft.com/office/drawing/2014/main" id="{EEA2CDC8-F78A-4CF0-983D-50CC73277087}"/>
            </a:ext>
          </a:extLst>
        </xdr:cNvPr>
        <xdr:cNvGrpSpPr/>
      </xdr:nvGrpSpPr>
      <xdr:grpSpPr>
        <a:xfrm>
          <a:off x="3494603" y="905252"/>
          <a:ext cx="11456067" cy="5552554"/>
          <a:chOff x="3669633" y="1091456"/>
          <a:chExt cx="11417967" cy="5690917"/>
        </a:xfrm>
      </xdr:grpSpPr>
      <xdr:grpSp>
        <xdr:nvGrpSpPr>
          <xdr:cNvPr id="14" name="Group 13">
            <a:extLst>
              <a:ext uri="{FF2B5EF4-FFF2-40B4-BE49-F238E27FC236}">
                <a16:creationId xmlns:a16="http://schemas.microsoft.com/office/drawing/2014/main" id="{55B1C6C6-9915-4EC0-ADD8-ECE6E1CC1690}"/>
              </a:ext>
            </a:extLst>
          </xdr:cNvPr>
          <xdr:cNvGrpSpPr/>
        </xdr:nvGrpSpPr>
        <xdr:grpSpPr>
          <a:xfrm>
            <a:off x="4891198" y="2105555"/>
            <a:ext cx="10192700" cy="4676818"/>
            <a:chOff x="3543661" y="1072558"/>
            <a:chExt cx="10278258" cy="4729337"/>
          </a:xfrm>
        </xdr:grpSpPr>
        <xdr:graphicFrame macro="">
          <xdr:nvGraphicFramePr>
            <xdr:cNvPr id="5" name="Chart 4">
              <a:extLst>
                <a:ext uri="{FF2B5EF4-FFF2-40B4-BE49-F238E27FC236}">
                  <a16:creationId xmlns:a16="http://schemas.microsoft.com/office/drawing/2014/main" id="{565E67AE-DC8A-40A5-8F49-ECE4BF30D3B3}"/>
                </a:ext>
              </a:extLst>
            </xdr:cNvPr>
            <xdr:cNvGraphicFramePr>
              <a:graphicFrameLocks/>
            </xdr:cNvGraphicFramePr>
          </xdr:nvGraphicFramePr>
          <xdr:xfrm>
            <a:off x="3543661" y="1072558"/>
            <a:ext cx="3572453" cy="222774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ADD5FE06-D6DE-4B69-8DC0-CC4E78E7D915}"/>
                </a:ext>
              </a:extLst>
            </xdr:cNvPr>
            <xdr:cNvGraphicFramePr>
              <a:graphicFrameLocks/>
            </xdr:cNvGraphicFramePr>
          </xdr:nvGraphicFramePr>
          <xdr:xfrm>
            <a:off x="7275740" y="1101905"/>
            <a:ext cx="2571787" cy="223608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3E69C0D9-91AD-42EE-B301-3E09D0D60C1B}"/>
                </a:ext>
              </a:extLst>
            </xdr:cNvPr>
            <xdr:cNvGraphicFramePr>
              <a:graphicFrameLocks/>
            </xdr:cNvGraphicFramePr>
          </xdr:nvGraphicFramePr>
          <xdr:xfrm>
            <a:off x="9972341" y="1093344"/>
            <a:ext cx="3846452" cy="226418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90CA7740-244B-47B4-8A12-2988A4E11F85}"/>
                </a:ext>
              </a:extLst>
            </xdr:cNvPr>
            <xdr:cNvGraphicFramePr>
              <a:graphicFrameLocks/>
            </xdr:cNvGraphicFramePr>
          </xdr:nvGraphicFramePr>
          <xdr:xfrm>
            <a:off x="3563068" y="3402239"/>
            <a:ext cx="3467076" cy="228088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8B36C84E-EF85-4852-92F2-BF978C3F8641}"/>
                </a:ext>
              </a:extLst>
            </xdr:cNvPr>
            <xdr:cNvGraphicFramePr>
              <a:graphicFrameLocks/>
            </xdr:cNvGraphicFramePr>
          </xdr:nvGraphicFramePr>
          <xdr:xfrm>
            <a:off x="7129154" y="3419363"/>
            <a:ext cx="3912290" cy="234191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9">
              <a:extLst>
                <a:ext uri="{FF2B5EF4-FFF2-40B4-BE49-F238E27FC236}">
                  <a16:creationId xmlns:a16="http://schemas.microsoft.com/office/drawing/2014/main" id="{DF5A74C0-A23A-4A99-9636-4002D5354687}"/>
                </a:ext>
              </a:extLst>
            </xdr:cNvPr>
            <xdr:cNvGraphicFramePr>
              <a:graphicFrameLocks/>
            </xdr:cNvGraphicFramePr>
          </xdr:nvGraphicFramePr>
          <xdr:xfrm>
            <a:off x="11186674" y="3418860"/>
            <a:ext cx="2635245" cy="2383035"/>
          </xdr:xfrm>
          <a:graphic>
            <a:graphicData uri="http://schemas.openxmlformats.org/drawingml/2006/chart">
              <c:chart xmlns:c="http://schemas.openxmlformats.org/drawingml/2006/chart" xmlns:r="http://schemas.openxmlformats.org/officeDocument/2006/relationships" r:id="rId6"/>
            </a:graphicData>
          </a:graphic>
        </xdr:graphicFrame>
      </xdr:grpSp>
      <mc:AlternateContent xmlns:mc="http://schemas.openxmlformats.org/markup-compatibility/2006" xmlns:a14="http://schemas.microsoft.com/office/drawing/2010/main">
        <mc:Choice Requires="a14">
          <xdr:graphicFrame macro="">
            <xdr:nvGraphicFramePr>
              <xdr:cNvPr id="12" name="Channel">
                <a:extLst>
                  <a:ext uri="{FF2B5EF4-FFF2-40B4-BE49-F238E27FC236}">
                    <a16:creationId xmlns:a16="http://schemas.microsoft.com/office/drawing/2014/main" id="{30B6D6E6-106D-46C7-9311-8E152C71DE5D}"/>
                  </a:ext>
                </a:extLst>
              </xdr:cNvPr>
              <xdr:cNvGraphicFramePr/>
            </xdr:nvGraphicFramePr>
            <xdr:xfrm>
              <a:off x="3669633" y="1091456"/>
              <a:ext cx="1011224" cy="1934772"/>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484577" y="928170"/>
                <a:ext cx="1011224" cy="1934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Categories">
                <a:extLst>
                  <a:ext uri="{FF2B5EF4-FFF2-40B4-BE49-F238E27FC236}">
                    <a16:creationId xmlns:a16="http://schemas.microsoft.com/office/drawing/2014/main" id="{16DB414B-CB82-4ADD-97DF-F5021469D7D5}"/>
                  </a:ext>
                </a:extLst>
              </xdr:cNvPr>
              <xdr:cNvGraphicFramePr/>
            </xdr:nvGraphicFramePr>
            <xdr:xfrm>
              <a:off x="4909387" y="1110343"/>
              <a:ext cx="10178213" cy="887282"/>
            </xdr:xfrm>
            <a:graphic>
              <a:graphicData uri="http://schemas.microsoft.com/office/drawing/2010/slicer">
                <sle:slicer xmlns:sle="http://schemas.microsoft.com/office/drawing/2010/slicer" name="Categories"/>
              </a:graphicData>
            </a:graphic>
          </xdr:graphicFrame>
        </mc:Choice>
        <mc:Fallback xmlns="">
          <xdr:sp macro="" textlink="">
            <xdr:nvSpPr>
              <xdr:cNvPr id="0" name=""/>
              <xdr:cNvSpPr>
                <a:spLocks noTextEdit="1"/>
              </xdr:cNvSpPr>
            </xdr:nvSpPr>
            <xdr:spPr>
              <a:xfrm>
                <a:off x="4724331" y="947057"/>
                <a:ext cx="10178213" cy="887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3</xdr:row>
      <xdr:rowOff>7620</xdr:rowOff>
    </xdr:from>
    <xdr:to>
      <xdr:col>9</xdr:col>
      <xdr:colOff>137160</xdr:colOff>
      <xdr:row>13</xdr:row>
      <xdr:rowOff>171450</xdr:rowOff>
    </xdr:to>
    <xdr:graphicFrame macro="">
      <xdr:nvGraphicFramePr>
        <xdr:cNvPr id="3" name="Chart 2">
          <a:extLst>
            <a:ext uri="{FF2B5EF4-FFF2-40B4-BE49-F238E27FC236}">
              <a16:creationId xmlns:a16="http://schemas.microsoft.com/office/drawing/2014/main" id="{1E07EA51-979C-4E01-B953-E67F2B13A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312420</xdr:colOff>
      <xdr:row>1</xdr:row>
      <xdr:rowOff>125730</xdr:rowOff>
    </xdr:from>
    <xdr:to>
      <xdr:col>7</xdr:col>
      <xdr:colOff>411480</xdr:colOff>
      <xdr:row>16</xdr:row>
      <xdr:rowOff>125730</xdr:rowOff>
    </xdr:to>
    <xdr:graphicFrame macro="">
      <xdr:nvGraphicFramePr>
        <xdr:cNvPr id="2" name="Chart 1">
          <a:extLst>
            <a:ext uri="{FF2B5EF4-FFF2-40B4-BE49-F238E27FC236}">
              <a16:creationId xmlns:a16="http://schemas.microsoft.com/office/drawing/2014/main" id="{A056C916-7F55-4A27-9ABB-8503C343E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160020</xdr:colOff>
      <xdr:row>2</xdr:row>
      <xdr:rowOff>3810</xdr:rowOff>
    </xdr:from>
    <xdr:to>
      <xdr:col>8</xdr:col>
      <xdr:colOff>0</xdr:colOff>
      <xdr:row>17</xdr:row>
      <xdr:rowOff>3810</xdr:rowOff>
    </xdr:to>
    <xdr:graphicFrame macro="">
      <xdr:nvGraphicFramePr>
        <xdr:cNvPr id="2" name="Chart 1">
          <a:extLst>
            <a:ext uri="{FF2B5EF4-FFF2-40B4-BE49-F238E27FC236}">
              <a16:creationId xmlns:a16="http://schemas.microsoft.com/office/drawing/2014/main" id="{CD5F952F-FF80-4D6D-8455-4FA2D7C78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586740</xdr:colOff>
      <xdr:row>1</xdr:row>
      <xdr:rowOff>156210</xdr:rowOff>
    </xdr:from>
    <xdr:to>
      <xdr:col>10</xdr:col>
      <xdr:colOff>281940</xdr:colOff>
      <xdr:row>16</xdr:row>
      <xdr:rowOff>156210</xdr:rowOff>
    </xdr:to>
    <xdr:graphicFrame macro="">
      <xdr:nvGraphicFramePr>
        <xdr:cNvPr id="2" name="Chart 1">
          <a:extLst>
            <a:ext uri="{FF2B5EF4-FFF2-40B4-BE49-F238E27FC236}">
              <a16:creationId xmlns:a16="http://schemas.microsoft.com/office/drawing/2014/main" id="{6DCB37E7-B92E-4D9D-A86B-3FE67D14F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304800</xdr:colOff>
      <xdr:row>1</xdr:row>
      <xdr:rowOff>102870</xdr:rowOff>
    </xdr:from>
    <xdr:to>
      <xdr:col>10</xdr:col>
      <xdr:colOff>480060</xdr:colOff>
      <xdr:row>16</xdr:row>
      <xdr:rowOff>102870</xdr:rowOff>
    </xdr:to>
    <xdr:graphicFrame macro="">
      <xdr:nvGraphicFramePr>
        <xdr:cNvPr id="2" name="Chart 1">
          <a:extLst>
            <a:ext uri="{FF2B5EF4-FFF2-40B4-BE49-F238E27FC236}">
              <a16:creationId xmlns:a16="http://schemas.microsoft.com/office/drawing/2014/main" id="{9AE232AE-7104-4C63-9BC6-CF6B2DF6E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403860</xdr:colOff>
      <xdr:row>1</xdr:row>
      <xdr:rowOff>175260</xdr:rowOff>
    </xdr:from>
    <xdr:to>
      <xdr:col>7</xdr:col>
      <xdr:colOff>205740</xdr:colOff>
      <xdr:row>14</xdr:row>
      <xdr:rowOff>99060</xdr:rowOff>
    </xdr:to>
    <xdr:graphicFrame macro="">
      <xdr:nvGraphicFramePr>
        <xdr:cNvPr id="2" name="Chart 1">
          <a:extLst>
            <a:ext uri="{FF2B5EF4-FFF2-40B4-BE49-F238E27FC236}">
              <a16:creationId xmlns:a16="http://schemas.microsoft.com/office/drawing/2014/main" id="{137DA8D3-6B51-400D-84AB-18F61B424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arn" refreshedDate="46285.958058101853" createdVersion="7" refreshedVersion="7" minRefreshableVersion="3" recordCount="50" xr:uid="{4DB0775C-EBED-47C0-B222-D24BD792DA93}">
  <cacheSource type="worksheet">
    <worksheetSource ref="A1:V51" sheet="data"/>
  </cacheSource>
  <cacheFields count="22">
    <cacheField name="Index" numFmtId="0">
      <sharedItems containsSemiMixedTypes="0" containsString="0" containsNumber="1" containsInteger="1" minValue="1" maxValue="50"/>
    </cacheField>
    <cacheField name="Order ID" numFmtId="0">
      <sharedItems count="5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haredItems>
    </cacheField>
    <cacheField name="Cust ID" numFmtId="0">
      <sharedItems count="5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haredItems>
    </cacheField>
    <cacheField name="Gender" numFmtId="0">
      <sharedItems count="2">
        <s v="Female"/>
        <s v="Male"/>
      </sharedItems>
    </cacheField>
    <cacheField name="Age" numFmtId="0">
      <sharedItems containsSemiMixedTypes="0" containsString="0" containsNumber="1" containsInteger="1" minValue="21" maxValue="55"/>
    </cacheField>
    <cacheField name="Age group" numFmtId="0">
      <sharedItems count="3">
        <s v="Teenager"/>
        <s v="Adult"/>
        <s v="Senior"/>
      </sharedItems>
    </cacheField>
    <cacheField name="Date" numFmtId="14">
      <sharedItems containsSemiMixedTypes="0" containsNonDate="0" containsDate="1" containsString="0" minDate="2025-01-05T00:00:00" maxDate="2025-12-29T00:00:00"/>
    </cacheField>
    <cacheField name="Months" numFmtId="14">
      <sharedItems count="12">
        <s v="Jan"/>
        <s v="Feb"/>
        <s v="Mar"/>
        <s v="Apr"/>
        <s v="May"/>
        <s v="Jun"/>
        <s v="Jul"/>
        <s v="Aug"/>
        <s v="Sep"/>
        <s v="Oct"/>
        <s v="Nov"/>
        <s v="Dec"/>
      </sharedItems>
    </cacheField>
    <cacheField name="Status" numFmtId="0">
      <sharedItems/>
    </cacheField>
    <cacheField name="Channel" numFmtId="0">
      <sharedItems count="5">
        <s v="Website"/>
        <s v="Daraz"/>
        <s v="Instagram"/>
        <s v="Facebook"/>
        <s v="Amazon"/>
      </sharedItems>
    </cacheField>
    <cacheField name="SKU" numFmtId="0">
      <sharedItems/>
    </cacheField>
    <cacheField name="Categories" numFmtId="0">
      <sharedItems count="8">
        <s v="T-Shirt"/>
        <s v="Jeans"/>
        <s v="Dress"/>
        <s v="Shirt"/>
        <s v="Kurta"/>
        <s v="Shoes"/>
        <s v="Accessories"/>
        <s v="Jacket"/>
      </sharedItems>
    </cacheField>
    <cacheField name="Size" numFmtId="0">
      <sharedItems/>
    </cacheField>
    <cacheField name="Qty" numFmtId="0">
      <sharedItems containsSemiMixedTypes="0" containsString="0" containsNumber="1" containsInteger="1" minValue="1" maxValue="3"/>
    </cacheField>
    <cacheField name="Current" numFmtId="0">
      <sharedItems containsSemiMixedTypes="0" containsString="0" containsNumber="1" containsInteger="1" minValue="499" maxValue="7299"/>
    </cacheField>
    <cacheField name="Amount" numFmtId="0">
      <sharedItems containsSemiMixedTypes="0" containsString="0" containsNumber="1" containsInteger="1" minValue="499" maxValue="10598"/>
    </cacheField>
    <cacheField name="Ship-City" numFmtId="0">
      <sharedItems/>
    </cacheField>
    <cacheField name="Ship-State" numFmtId="0">
      <sharedItems count="5">
        <s v="Bagmati Province"/>
        <s v="Gandaki Province"/>
        <s v="Koshi Province"/>
        <s v="Madhesh Province"/>
        <s v="Lumbini Province"/>
      </sharedItems>
    </cacheField>
    <cacheField name="Ship-Status" numFmtId="0">
      <sharedItems count="6">
        <s v="Delivered"/>
        <s v="In Transit"/>
        <s v="Pending"/>
        <s v="Cancelled"/>
        <s v="Shipped"/>
        <s v="Returned"/>
      </sharedItems>
    </cacheField>
    <cacheField name="Ship-Postal Code" numFmtId="0">
      <sharedItems containsSemiMixedTypes="0" containsString="0" containsNumber="1" containsInteger="1" minValue="32907" maxValue="56700"/>
    </cacheField>
    <cacheField name="Ship-Country" numFmtId="0">
      <sharedItems/>
    </cacheField>
    <cacheField name="B2B" numFmtId="0">
      <sharedItems/>
    </cacheField>
  </cacheFields>
  <extLst>
    <ext xmlns:x14="http://schemas.microsoft.com/office/spreadsheetml/2009/9/main" uri="{725AE2AE-9491-48be-B2B4-4EB974FC3084}">
      <x14:pivotCacheDefinition pivotCacheId="903637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n v="24"/>
    <x v="0"/>
    <d v="2025-01-05T00:00:00"/>
    <x v="0"/>
    <s v="Delivered"/>
    <x v="0"/>
    <s v="TSH-101"/>
    <x v="0"/>
    <s v="M"/>
    <n v="2"/>
    <n v="899"/>
    <n v="1798"/>
    <s v="Kathmandu"/>
    <x v="0"/>
    <x v="0"/>
    <n v="44600"/>
    <s v="Nepal"/>
    <s v="No"/>
  </r>
  <r>
    <n v="2"/>
    <x v="1"/>
    <x v="1"/>
    <x v="1"/>
    <n v="31"/>
    <x v="1"/>
    <d v="2025-01-18T00:00:00"/>
    <x v="0"/>
    <s v="Shipped"/>
    <x v="1"/>
    <s v="JEA-205"/>
    <x v="1"/>
    <s v="L"/>
    <n v="1"/>
    <n v="2499"/>
    <n v="2499"/>
    <s v="Lalitpur"/>
    <x v="0"/>
    <x v="1"/>
    <n v="44700"/>
    <s v="Nepal"/>
    <s v="No"/>
  </r>
  <r>
    <n v="3"/>
    <x v="2"/>
    <x v="2"/>
    <x v="0"/>
    <n v="28"/>
    <x v="0"/>
    <d v="2025-02-03T00:00:00"/>
    <x v="1"/>
    <s v="Delivered"/>
    <x v="2"/>
    <s v="DRE-310"/>
    <x v="2"/>
    <s v="S"/>
    <n v="1"/>
    <n v="3299"/>
    <n v="3299"/>
    <s v="Pokhara"/>
    <x v="1"/>
    <x v="0"/>
    <n v="33700"/>
    <s v="Nepal"/>
    <s v="No"/>
  </r>
  <r>
    <n v="4"/>
    <x v="3"/>
    <x v="3"/>
    <x v="1"/>
    <n v="42"/>
    <x v="1"/>
    <d v="2025-02-21T00:00:00"/>
    <x v="1"/>
    <s v="Pending"/>
    <x v="0"/>
    <s v="SHI-115"/>
    <x v="3"/>
    <s v="XL"/>
    <n v="3"/>
    <n v="1599"/>
    <n v="4797"/>
    <s v="Bharatpur"/>
    <x v="0"/>
    <x v="2"/>
    <n v="44200"/>
    <s v="Nepal"/>
    <s v="Yes"/>
  </r>
  <r>
    <n v="5"/>
    <x v="4"/>
    <x v="4"/>
    <x v="0"/>
    <n v="35"/>
    <x v="1"/>
    <d v="2025-03-07T00:00:00"/>
    <x v="2"/>
    <s v="Delivered"/>
    <x v="3"/>
    <s v="KUR-220"/>
    <x v="4"/>
    <s v="M"/>
    <n v="2"/>
    <n v="1899"/>
    <n v="3798"/>
    <s v="Biratnagar"/>
    <x v="2"/>
    <x v="0"/>
    <n v="56613"/>
    <s v="Nepal"/>
    <s v="No"/>
  </r>
  <r>
    <n v="6"/>
    <x v="5"/>
    <x v="5"/>
    <x v="1"/>
    <n v="26"/>
    <x v="0"/>
    <d v="2025-03-25T00:00:00"/>
    <x v="2"/>
    <s v="Cancelled"/>
    <x v="0"/>
    <s v="SHO-405"/>
    <x v="5"/>
    <s v="L"/>
    <n v="1"/>
    <n v="4499"/>
    <n v="4499"/>
    <s v="Birgunj"/>
    <x v="3"/>
    <x v="3"/>
    <n v="44300"/>
    <s v="Nepal"/>
    <s v="No"/>
  </r>
  <r>
    <n v="7"/>
    <x v="6"/>
    <x v="6"/>
    <x v="0"/>
    <n v="22"/>
    <x v="0"/>
    <d v="2025-04-02T00:00:00"/>
    <x v="3"/>
    <s v="Shipped"/>
    <x v="4"/>
    <s v="ACC-501"/>
    <x v="6"/>
    <s v="S"/>
    <n v="2"/>
    <n v="799"/>
    <n v="1598"/>
    <s v="Butwal"/>
    <x v="4"/>
    <x v="4"/>
    <n v="32907"/>
    <s v="Nepal"/>
    <s v="No"/>
  </r>
  <r>
    <n v="8"/>
    <x v="7"/>
    <x v="7"/>
    <x v="1"/>
    <n v="39"/>
    <x v="1"/>
    <d v="2025-04-19T00:00:00"/>
    <x v="3"/>
    <s v="Delivered"/>
    <x v="1"/>
    <s v="JAC-610"/>
    <x v="7"/>
    <s v="XL"/>
    <n v="1"/>
    <n v="5499"/>
    <n v="5499"/>
    <s v="Dharan"/>
    <x v="2"/>
    <x v="0"/>
    <n v="56700"/>
    <s v="Nepal"/>
    <s v="Yes"/>
  </r>
  <r>
    <n v="9"/>
    <x v="8"/>
    <x v="8"/>
    <x v="0"/>
    <n v="29"/>
    <x v="0"/>
    <d v="2025-05-06T00:00:00"/>
    <x v="4"/>
    <s v="Returned"/>
    <x v="2"/>
    <s v="TSH-102"/>
    <x v="0"/>
    <s v="L"/>
    <n v="1"/>
    <n v="999"/>
    <n v="999"/>
    <s v="Kathmandu"/>
    <x v="0"/>
    <x v="5"/>
    <n v="44600"/>
    <s v="Nepal"/>
    <s v="No"/>
  </r>
  <r>
    <n v="10"/>
    <x v="9"/>
    <x v="9"/>
    <x v="1"/>
    <n v="45"/>
    <x v="1"/>
    <d v="2025-05-24T00:00:00"/>
    <x v="4"/>
    <s v="Delivered"/>
    <x v="0"/>
    <s v="SHI-116"/>
    <x v="3"/>
    <s v="M"/>
    <n v="2"/>
    <n v="1799"/>
    <n v="3598"/>
    <s v="Lalitpur"/>
    <x v="0"/>
    <x v="0"/>
    <n v="44700"/>
    <s v="Nepal"/>
    <s v="Yes"/>
  </r>
  <r>
    <n v="11"/>
    <x v="10"/>
    <x v="10"/>
    <x v="0"/>
    <n v="33"/>
    <x v="1"/>
    <d v="2025-06-03T00:00:00"/>
    <x v="5"/>
    <s v="Shipped"/>
    <x v="3"/>
    <s v="JEA-206"/>
    <x v="1"/>
    <s v="M"/>
    <n v="1"/>
    <n v="2899"/>
    <n v="2899"/>
    <s v="Pokhara"/>
    <x v="1"/>
    <x v="4"/>
    <n v="33700"/>
    <s v="Nepal"/>
    <s v="No"/>
  </r>
  <r>
    <n v="12"/>
    <x v="11"/>
    <x v="11"/>
    <x v="1"/>
    <n v="27"/>
    <x v="0"/>
    <d v="2025-06-20T00:00:00"/>
    <x v="5"/>
    <s v="Delivered"/>
    <x v="4"/>
    <s v="SHO-406"/>
    <x v="5"/>
    <s v="XL"/>
    <n v="1"/>
    <n v="5999"/>
    <n v="5999"/>
    <s v="Kathmandu"/>
    <x v="0"/>
    <x v="0"/>
    <n v="44600"/>
    <s v="Nepal"/>
    <s v="No"/>
  </r>
  <r>
    <n v="13"/>
    <x v="12"/>
    <x v="12"/>
    <x v="0"/>
    <n v="41"/>
    <x v="1"/>
    <d v="2025-07-04T00:00:00"/>
    <x v="6"/>
    <s v="Pending"/>
    <x v="0"/>
    <s v="DRE-311"/>
    <x v="2"/>
    <s v="XL"/>
    <n v="2"/>
    <n v="3999"/>
    <n v="7998"/>
    <s v="Bharatpur"/>
    <x v="0"/>
    <x v="2"/>
    <n v="44200"/>
    <s v="Nepal"/>
    <s v="Yes"/>
  </r>
  <r>
    <n v="14"/>
    <x v="13"/>
    <x v="13"/>
    <x v="1"/>
    <n v="36"/>
    <x v="1"/>
    <d v="2025-07-22T00:00:00"/>
    <x v="6"/>
    <s v="Delivered"/>
    <x v="1"/>
    <s v="JAC-611"/>
    <x v="7"/>
    <s v="L"/>
    <n v="1"/>
    <n v="4999"/>
    <n v="4999"/>
    <s v="Biratnagar"/>
    <x v="2"/>
    <x v="0"/>
    <n v="56613"/>
    <s v="Nepal"/>
    <s v="Yes"/>
  </r>
  <r>
    <n v="15"/>
    <x v="14"/>
    <x v="14"/>
    <x v="0"/>
    <n v="25"/>
    <x v="0"/>
    <d v="2025-08-05T00:00:00"/>
    <x v="7"/>
    <s v="Shipped"/>
    <x v="2"/>
    <s v="KUR-221"/>
    <x v="4"/>
    <s v="S"/>
    <n v="2"/>
    <n v="1699"/>
    <n v="3398"/>
    <s v="Butwal"/>
    <x v="4"/>
    <x v="1"/>
    <n v="32907"/>
    <s v="Nepal"/>
    <s v="No"/>
  </r>
  <r>
    <n v="16"/>
    <x v="15"/>
    <x v="15"/>
    <x v="1"/>
    <n v="52"/>
    <x v="2"/>
    <d v="2025-08-23T00:00:00"/>
    <x v="7"/>
    <s v="Delivered"/>
    <x v="0"/>
    <s v="TSH-103"/>
    <x v="0"/>
    <s v="XXL"/>
    <n v="3"/>
    <n v="1099"/>
    <n v="3297"/>
    <s v="Dharan"/>
    <x v="2"/>
    <x v="0"/>
    <n v="56700"/>
    <s v="Nepal"/>
    <s v="Yes"/>
  </r>
  <r>
    <n v="17"/>
    <x v="16"/>
    <x v="16"/>
    <x v="0"/>
    <n v="30"/>
    <x v="1"/>
    <d v="2025-09-02T00:00:00"/>
    <x v="8"/>
    <s v="Cancelled"/>
    <x v="3"/>
    <s v="ACC-502"/>
    <x v="6"/>
    <s v="M"/>
    <n v="1"/>
    <n v="599"/>
    <n v="599"/>
    <s v="Birgunj"/>
    <x v="3"/>
    <x v="3"/>
    <n v="44300"/>
    <s v="Nepal"/>
    <s v="No"/>
  </r>
  <r>
    <n v="18"/>
    <x v="17"/>
    <x v="17"/>
    <x v="1"/>
    <n v="34"/>
    <x v="1"/>
    <d v="2025-09-19T00:00:00"/>
    <x v="8"/>
    <s v="Delivered"/>
    <x v="4"/>
    <s v="JEA-207"/>
    <x v="1"/>
    <s v="L"/>
    <n v="2"/>
    <n v="3199"/>
    <n v="6398"/>
    <s v="Kathmandu"/>
    <x v="0"/>
    <x v="0"/>
    <n v="44600"/>
    <s v="Nepal"/>
    <s v="No"/>
  </r>
  <r>
    <n v="19"/>
    <x v="18"/>
    <x v="18"/>
    <x v="0"/>
    <n v="38"/>
    <x v="1"/>
    <d v="2025-10-07T00:00:00"/>
    <x v="9"/>
    <s v="Returned"/>
    <x v="1"/>
    <s v="DRE-312"/>
    <x v="2"/>
    <s v="M"/>
    <n v="1"/>
    <n v="3599"/>
    <n v="3599"/>
    <s v="Lalitpur"/>
    <x v="0"/>
    <x v="5"/>
    <n v="44700"/>
    <s v="Nepal"/>
    <s v="No"/>
  </r>
  <r>
    <n v="20"/>
    <x v="19"/>
    <x v="19"/>
    <x v="1"/>
    <n v="29"/>
    <x v="0"/>
    <d v="2025-10-25T00:00:00"/>
    <x v="9"/>
    <s v="Delivered"/>
    <x v="0"/>
    <s v="SHO-407"/>
    <x v="5"/>
    <s v="M"/>
    <n v="2"/>
    <n v="5299"/>
    <n v="10598"/>
    <s v="Pokhara"/>
    <x v="1"/>
    <x v="0"/>
    <n v="33700"/>
    <s v="Nepal"/>
    <s v="Yes"/>
  </r>
  <r>
    <n v="21"/>
    <x v="20"/>
    <x v="20"/>
    <x v="0"/>
    <n v="26"/>
    <x v="0"/>
    <d v="2025-11-04T00:00:00"/>
    <x v="10"/>
    <s v="Shipped"/>
    <x v="4"/>
    <s v="TSH-104"/>
    <x v="0"/>
    <s v="S"/>
    <n v="1"/>
    <n v="799"/>
    <n v="799"/>
    <s v="Kathmandu"/>
    <x v="0"/>
    <x v="4"/>
    <n v="44600"/>
    <s v="Nepal"/>
    <s v="No"/>
  </r>
  <r>
    <n v="22"/>
    <x v="21"/>
    <x v="21"/>
    <x v="1"/>
    <n v="43"/>
    <x v="1"/>
    <d v="2025-11-21T00:00:00"/>
    <x v="10"/>
    <s v="Delivered"/>
    <x v="3"/>
    <s v="SHI-117"/>
    <x v="3"/>
    <s v="L"/>
    <n v="2"/>
    <n v="1999"/>
    <n v="3998"/>
    <s v="Bharatpur"/>
    <x v="0"/>
    <x v="0"/>
    <n v="44200"/>
    <s v="Nepal"/>
    <s v="Yes"/>
  </r>
  <r>
    <n v="23"/>
    <x v="22"/>
    <x v="22"/>
    <x v="0"/>
    <n v="32"/>
    <x v="1"/>
    <d v="2025-12-03T00:00:00"/>
    <x v="11"/>
    <s v="Pending"/>
    <x v="1"/>
    <s v="JEA-208"/>
    <x v="1"/>
    <s v="XL"/>
    <n v="1"/>
    <n v="2999"/>
    <n v="2999"/>
    <s v="Biratnagar"/>
    <x v="2"/>
    <x v="2"/>
    <n v="56613"/>
    <s v="Nepal"/>
    <s v="No"/>
  </r>
  <r>
    <n v="24"/>
    <x v="23"/>
    <x v="23"/>
    <x v="1"/>
    <n v="37"/>
    <x v="1"/>
    <d v="2025-12-20T00:00:00"/>
    <x v="11"/>
    <s v="Delivered"/>
    <x v="0"/>
    <s v="KUR-222"/>
    <x v="4"/>
    <s v="L"/>
    <n v="2"/>
    <n v="2099"/>
    <n v="4198"/>
    <s v="Dharan"/>
    <x v="2"/>
    <x v="0"/>
    <n v="56700"/>
    <s v="Nepal"/>
    <s v="No"/>
  </r>
  <r>
    <n v="25"/>
    <x v="24"/>
    <x v="24"/>
    <x v="0"/>
    <n v="21"/>
    <x v="0"/>
    <d v="2025-01-11T00:00:00"/>
    <x v="0"/>
    <s v="Returned"/>
    <x v="2"/>
    <s v="DRE-313"/>
    <x v="2"/>
    <s v="S"/>
    <n v="1"/>
    <n v="2899"/>
    <n v="2899"/>
    <s v="Butwal"/>
    <x v="4"/>
    <x v="5"/>
    <n v="32907"/>
    <s v="Nepal"/>
    <s v="No"/>
  </r>
  <r>
    <n v="26"/>
    <x v="25"/>
    <x v="25"/>
    <x v="1"/>
    <n v="48"/>
    <x v="1"/>
    <d v="2025-02-15T00:00:00"/>
    <x v="1"/>
    <s v="Delivered"/>
    <x v="4"/>
    <s v="JAC-612"/>
    <x v="7"/>
    <s v="XXL"/>
    <n v="1"/>
    <n v="6499"/>
    <n v="6499"/>
    <s v="Kathmandu"/>
    <x v="0"/>
    <x v="0"/>
    <n v="44600"/>
    <s v="Nepal"/>
    <s v="Yes"/>
  </r>
  <r>
    <n v="27"/>
    <x v="26"/>
    <x v="26"/>
    <x v="0"/>
    <n v="34"/>
    <x v="1"/>
    <d v="2025-03-12T00:00:00"/>
    <x v="2"/>
    <s v="Shipped"/>
    <x v="3"/>
    <s v="SHO-408"/>
    <x v="5"/>
    <s v="M"/>
    <n v="1"/>
    <n v="4799"/>
    <n v="4799"/>
    <s v="Lalitpur"/>
    <x v="0"/>
    <x v="1"/>
    <n v="44700"/>
    <s v="Nepal"/>
    <s v="No"/>
  </r>
  <r>
    <n v="28"/>
    <x v="27"/>
    <x v="27"/>
    <x v="1"/>
    <n v="30"/>
    <x v="1"/>
    <d v="2025-04-27T00:00:00"/>
    <x v="3"/>
    <s v="Delivered"/>
    <x v="1"/>
    <s v="ACC-503"/>
    <x v="6"/>
    <s v="L"/>
    <n v="3"/>
    <n v="699"/>
    <n v="2097"/>
    <s v="Pokhara"/>
    <x v="1"/>
    <x v="0"/>
    <n v="33700"/>
    <s v="Nepal"/>
    <s v="No"/>
  </r>
  <r>
    <n v="29"/>
    <x v="28"/>
    <x v="28"/>
    <x v="0"/>
    <n v="44"/>
    <x v="1"/>
    <d v="2025-05-15T00:00:00"/>
    <x v="4"/>
    <s v="Cancelled"/>
    <x v="0"/>
    <s v="SHI-118"/>
    <x v="3"/>
    <s v="XL"/>
    <n v="1"/>
    <n v="1899"/>
    <n v="1899"/>
    <s v="Birgunj"/>
    <x v="3"/>
    <x v="3"/>
    <n v="44300"/>
    <s v="Nepal"/>
    <s v="Yes"/>
  </r>
  <r>
    <n v="30"/>
    <x v="29"/>
    <x v="29"/>
    <x v="1"/>
    <n v="25"/>
    <x v="0"/>
    <d v="2025-06-09T00:00:00"/>
    <x v="5"/>
    <s v="Delivered"/>
    <x v="2"/>
    <s v="TSH-105"/>
    <x v="0"/>
    <s v="M"/>
    <n v="2"/>
    <n v="1199"/>
    <n v="2398"/>
    <s v="Bharatpur"/>
    <x v="0"/>
    <x v="0"/>
    <n v="44200"/>
    <s v="Nepal"/>
    <s v="No"/>
  </r>
  <r>
    <n v="31"/>
    <x v="30"/>
    <x v="30"/>
    <x v="0"/>
    <n v="39"/>
    <x v="1"/>
    <d v="2025-07-16T00:00:00"/>
    <x v="6"/>
    <s v="Shipped"/>
    <x v="4"/>
    <s v="JEA-209"/>
    <x v="1"/>
    <s v="L"/>
    <n v="1"/>
    <n v="3499"/>
    <n v="3499"/>
    <s v="Biratnagar"/>
    <x v="2"/>
    <x v="4"/>
    <n v="56613"/>
    <s v="Nepal"/>
    <s v="Yes"/>
  </r>
  <r>
    <n v="32"/>
    <x v="31"/>
    <x v="31"/>
    <x v="1"/>
    <n v="28"/>
    <x v="0"/>
    <d v="2025-08-11T00:00:00"/>
    <x v="7"/>
    <s v="Delivered"/>
    <x v="0"/>
    <s v="DRE-314"/>
    <x v="2"/>
    <s v="M"/>
    <n v="1"/>
    <n v="3799"/>
    <n v="3799"/>
    <s v="Kathmandu"/>
    <x v="0"/>
    <x v="0"/>
    <n v="44600"/>
    <s v="Nepal"/>
    <s v="No"/>
  </r>
  <r>
    <n v="33"/>
    <x v="32"/>
    <x v="32"/>
    <x v="0"/>
    <n v="46"/>
    <x v="1"/>
    <d v="2025-09-28T00:00:00"/>
    <x v="8"/>
    <s v="Pending"/>
    <x v="3"/>
    <s v="KUR-223"/>
    <x v="4"/>
    <s v="XL"/>
    <n v="2"/>
    <n v="2299"/>
    <n v="4598"/>
    <s v="Dharan"/>
    <x v="2"/>
    <x v="2"/>
    <n v="56700"/>
    <s v="Nepal"/>
    <s v="Yes"/>
  </r>
  <r>
    <n v="34"/>
    <x v="33"/>
    <x v="33"/>
    <x v="1"/>
    <n v="33"/>
    <x v="1"/>
    <d v="2025-10-12T00:00:00"/>
    <x v="9"/>
    <s v="Delivered"/>
    <x v="1"/>
    <s v="SHO-409"/>
    <x v="5"/>
    <s v="L"/>
    <n v="1"/>
    <n v="5699"/>
    <n v="5699"/>
    <s v="Butwal"/>
    <x v="4"/>
    <x v="0"/>
    <n v="32907"/>
    <s v="Nepal"/>
    <s v="No"/>
  </r>
  <r>
    <n v="35"/>
    <x v="34"/>
    <x v="34"/>
    <x v="0"/>
    <n v="27"/>
    <x v="0"/>
    <d v="2025-11-09T00:00:00"/>
    <x v="10"/>
    <s v="Returned"/>
    <x v="2"/>
    <s v="ACC-504"/>
    <x v="6"/>
    <s v="S"/>
    <n v="2"/>
    <n v="899"/>
    <n v="1798"/>
    <s v="Pokhara"/>
    <x v="1"/>
    <x v="5"/>
    <n v="33700"/>
    <s v="Nepal"/>
    <s v="No"/>
  </r>
  <r>
    <n v="36"/>
    <x v="35"/>
    <x v="35"/>
    <x v="1"/>
    <n v="51"/>
    <x v="2"/>
    <d v="2025-12-07T00:00:00"/>
    <x v="11"/>
    <s v="Delivered"/>
    <x v="4"/>
    <s v="JAC-613"/>
    <x v="7"/>
    <s v="XL"/>
    <n v="1"/>
    <n v="6999"/>
    <n v="6999"/>
    <s v="Lalitpur"/>
    <x v="0"/>
    <x v="0"/>
    <n v="44700"/>
    <s v="Nepal"/>
    <s v="Yes"/>
  </r>
  <r>
    <n v="37"/>
    <x v="36"/>
    <x v="36"/>
    <x v="0"/>
    <n v="23"/>
    <x v="0"/>
    <d v="2025-01-28T00:00:00"/>
    <x v="0"/>
    <s v="Shipped"/>
    <x v="0"/>
    <s v="TSH-106"/>
    <x v="0"/>
    <s v="S"/>
    <n v="3"/>
    <n v="899"/>
    <n v="2697"/>
    <s v="Kathmandu"/>
    <x v="0"/>
    <x v="1"/>
    <n v="44600"/>
    <s v="Nepal"/>
    <s v="No"/>
  </r>
  <r>
    <n v="38"/>
    <x v="37"/>
    <x v="37"/>
    <x v="1"/>
    <n v="40"/>
    <x v="1"/>
    <d v="2025-02-27T00:00:00"/>
    <x v="1"/>
    <s v="Delivered"/>
    <x v="3"/>
    <s v="SHI-119"/>
    <x v="3"/>
    <s v="M"/>
    <n v="2"/>
    <n v="2199"/>
    <n v="4398"/>
    <s v="Birgunj"/>
    <x v="3"/>
    <x v="0"/>
    <n v="44300"/>
    <s v="Nepal"/>
    <s v="Yes"/>
  </r>
  <r>
    <n v="39"/>
    <x v="38"/>
    <x v="38"/>
    <x v="0"/>
    <n v="31"/>
    <x v="1"/>
    <d v="2025-03-29T00:00:00"/>
    <x v="2"/>
    <s v="Pending"/>
    <x v="1"/>
    <s v="JEA-210"/>
    <x v="1"/>
    <s v="S"/>
    <n v="1"/>
    <n v="2799"/>
    <n v="2799"/>
    <s v="Bharatpur"/>
    <x v="0"/>
    <x v="2"/>
    <n v="44200"/>
    <s v="Nepal"/>
    <s v="No"/>
  </r>
  <r>
    <n v="40"/>
    <x v="39"/>
    <x v="39"/>
    <x v="1"/>
    <n v="35"/>
    <x v="1"/>
    <d v="2025-04-14T00:00:00"/>
    <x v="3"/>
    <s v="Delivered"/>
    <x v="0"/>
    <s v="KUR-224"/>
    <x v="4"/>
    <s v="M"/>
    <n v="1"/>
    <n v="1999"/>
    <n v="1999"/>
    <s v="Biratnagar"/>
    <x v="2"/>
    <x v="0"/>
    <n v="56613"/>
    <s v="Nepal"/>
    <s v="No"/>
  </r>
  <r>
    <n v="41"/>
    <x v="40"/>
    <x v="40"/>
    <x v="0"/>
    <n v="29"/>
    <x v="0"/>
    <d v="2025-05-29T00:00:00"/>
    <x v="4"/>
    <s v="Shipped"/>
    <x v="2"/>
    <s v="DRE-315"/>
    <x v="2"/>
    <s v="L"/>
    <n v="2"/>
    <n v="4299"/>
    <n v="8598"/>
    <s v="Dharan"/>
    <x v="2"/>
    <x v="4"/>
    <n v="56700"/>
    <s v="Nepal"/>
    <s v="No"/>
  </r>
  <r>
    <n v="42"/>
    <x v="41"/>
    <x v="41"/>
    <x v="1"/>
    <n v="47"/>
    <x v="1"/>
    <d v="2025-06-26T00:00:00"/>
    <x v="5"/>
    <s v="Delivered"/>
    <x v="4"/>
    <s v="SHO-410"/>
    <x v="5"/>
    <s v="XL"/>
    <n v="1"/>
    <n v="7299"/>
    <n v="7299"/>
    <s v="Kathmandu"/>
    <x v="0"/>
    <x v="0"/>
    <n v="44600"/>
    <s v="Nepal"/>
    <s v="Yes"/>
  </r>
  <r>
    <n v="43"/>
    <x v="42"/>
    <x v="42"/>
    <x v="0"/>
    <n v="36"/>
    <x v="1"/>
    <d v="2025-07-29T00:00:00"/>
    <x v="6"/>
    <s v="Cancelled"/>
    <x v="3"/>
    <s v="ACC-505"/>
    <x v="6"/>
    <s v="M"/>
    <n v="1"/>
    <n v="499"/>
    <n v="499"/>
    <s v="Lalitpur"/>
    <x v="0"/>
    <x v="3"/>
    <n v="44700"/>
    <s v="Nepal"/>
    <s v="No"/>
  </r>
  <r>
    <n v="44"/>
    <x v="43"/>
    <x v="43"/>
    <x v="1"/>
    <n v="24"/>
    <x v="0"/>
    <d v="2025-08-30T00:00:00"/>
    <x v="7"/>
    <s v="Delivered"/>
    <x v="1"/>
    <s v="TSH-107"/>
    <x v="0"/>
    <s v="L"/>
    <n v="2"/>
    <n v="1299"/>
    <n v="2598"/>
    <s v="Pokhara"/>
    <x v="1"/>
    <x v="0"/>
    <n v="33700"/>
    <s v="Nepal"/>
    <s v="No"/>
  </r>
  <r>
    <n v="45"/>
    <x v="44"/>
    <x v="44"/>
    <x v="0"/>
    <n v="42"/>
    <x v="1"/>
    <d v="2025-09-14T00:00:00"/>
    <x v="8"/>
    <s v="Shipped"/>
    <x v="0"/>
    <s v="JAC-614"/>
    <x v="7"/>
    <s v="M"/>
    <n v="1"/>
    <n v="5999"/>
    <n v="5999"/>
    <s v="Butwal"/>
    <x v="4"/>
    <x v="1"/>
    <n v="32907"/>
    <s v="Nepal"/>
    <s v="Yes"/>
  </r>
  <r>
    <n v="46"/>
    <x v="45"/>
    <x v="45"/>
    <x v="1"/>
    <n v="32"/>
    <x v="1"/>
    <d v="2025-10-30T00:00:00"/>
    <x v="9"/>
    <s v="Delivered"/>
    <x v="4"/>
    <s v="SHI-120"/>
    <x v="3"/>
    <s v="XL"/>
    <n v="3"/>
    <n v="1799"/>
    <n v="5397"/>
    <s v="Bharatpur"/>
    <x v="0"/>
    <x v="0"/>
    <n v="44200"/>
    <s v="Nepal"/>
    <s v="No"/>
  </r>
  <r>
    <n v="47"/>
    <x v="46"/>
    <x v="46"/>
    <x v="0"/>
    <n v="28"/>
    <x v="0"/>
    <d v="2025-11-18T00:00:00"/>
    <x v="10"/>
    <s v="Returned"/>
    <x v="2"/>
    <s v="KUR-225"/>
    <x v="4"/>
    <s v="S"/>
    <n v="1"/>
    <n v="1599"/>
    <n v="1599"/>
    <s v="Kathmandu"/>
    <x v="0"/>
    <x v="5"/>
    <n v="44600"/>
    <s v="Nepal"/>
    <s v="No"/>
  </r>
  <r>
    <n v="48"/>
    <x v="47"/>
    <x v="47"/>
    <x v="1"/>
    <n v="55"/>
    <x v="2"/>
    <d v="2025-12-14T00:00:00"/>
    <x v="11"/>
    <s v="Delivered"/>
    <x v="0"/>
    <s v="JEA-211"/>
    <x v="1"/>
    <s v="XXL"/>
    <n v="1"/>
    <n v="3899"/>
    <n v="3899"/>
    <s v="Birgunj"/>
    <x v="3"/>
    <x v="0"/>
    <n v="44300"/>
    <s v="Nepal"/>
    <s v="Yes"/>
  </r>
  <r>
    <n v="49"/>
    <x v="48"/>
    <x v="48"/>
    <x v="0"/>
    <n v="37"/>
    <x v="1"/>
    <d v="2025-10-18T00:00:00"/>
    <x v="9"/>
    <s v="Pending"/>
    <x v="1"/>
    <s v="DRE-316"/>
    <x v="2"/>
    <s v="XL"/>
    <n v="2"/>
    <n v="4599"/>
    <n v="9198"/>
    <s v="Lalitpur"/>
    <x v="0"/>
    <x v="2"/>
    <n v="44700"/>
    <s v="Nepal"/>
    <s v="No"/>
  </r>
  <r>
    <n v="50"/>
    <x v="49"/>
    <x v="49"/>
    <x v="1"/>
    <n v="41"/>
    <x v="1"/>
    <d v="2025-12-28T00:00:00"/>
    <x v="11"/>
    <s v="Delivered"/>
    <x v="3"/>
    <s v="SHO-411"/>
    <x v="5"/>
    <s v="L"/>
    <n v="1"/>
    <n v="6199"/>
    <n v="6199"/>
    <s v="Pokhara"/>
    <x v="1"/>
    <x v="0"/>
    <n v="33700"/>
    <s v="Nepal"/>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E371E-B47A-417D-B3A8-973BF5B40676}"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C15" firstHeaderRow="0" firstDataRow="1" firstDataCol="1"/>
  <pivotFields count="22">
    <pivotField showAll="0"/>
    <pivotField showAll="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items count="6">
        <item x="4"/>
        <item x="1"/>
        <item x="3"/>
        <item x="2"/>
        <item x="0"/>
        <item t="default"/>
      </items>
    </pivotField>
    <pivotField showAll="0"/>
    <pivotField showAll="0">
      <items count="9">
        <item x="6"/>
        <item x="2"/>
        <item x="7"/>
        <item x="1"/>
        <item x="4"/>
        <item x="3"/>
        <item x="5"/>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Cust ID" fld="2"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CDFBD-B06D-4C66-B285-B067EF5C12EB}"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5" firstHeaderRow="1" firstDataRow="1" firstDataCol="1"/>
  <pivotFields count="22">
    <pivotField showAll="0"/>
    <pivotField showAll="0"/>
    <pivotField showAll="0"/>
    <pivotField axis="axisRow" showAll="0">
      <items count="3">
        <item x="0"/>
        <item x="1"/>
        <item t="default"/>
      </items>
    </pivotField>
    <pivotField showAll="0"/>
    <pivotField showAll="0">
      <items count="4">
        <item x="1"/>
        <item x="2"/>
        <item x="0"/>
        <item t="default"/>
      </items>
    </pivotField>
    <pivotField numFmtId="14" showAll="0"/>
    <pivotField showAll="0">
      <items count="13">
        <item x="0"/>
        <item x="1"/>
        <item x="2"/>
        <item x="3"/>
        <item x="4"/>
        <item x="5"/>
        <item x="6"/>
        <item x="7"/>
        <item x="8"/>
        <item x="9"/>
        <item x="10"/>
        <item x="11"/>
        <item t="default"/>
      </items>
    </pivotField>
    <pivotField showAll="0"/>
    <pivotField showAll="0">
      <items count="6">
        <item x="4"/>
        <item x="1"/>
        <item x="3"/>
        <item x="2"/>
        <item x="0"/>
        <item t="default"/>
      </items>
    </pivotField>
    <pivotField showAll="0"/>
    <pivotField showAll="0">
      <items count="9">
        <item x="6"/>
        <item x="2"/>
        <item x="7"/>
        <item x="1"/>
        <item x="4"/>
        <item x="3"/>
        <item x="5"/>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9BB4C-316A-408B-9CA8-A9F188225EAE}"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9" firstHeaderRow="1" firstDataRow="1" firstDataCol="1"/>
  <pivotFields count="22">
    <pivotField showAll="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pivotField showAll="0">
      <items count="6">
        <item x="4"/>
        <item x="1"/>
        <item x="3"/>
        <item x="2"/>
        <item x="0"/>
        <item t="default"/>
      </items>
    </pivotField>
    <pivotField showAll="0"/>
    <pivotField showAll="0">
      <items count="9">
        <item x="6"/>
        <item x="2"/>
        <item x="7"/>
        <item x="1"/>
        <item x="4"/>
        <item x="3"/>
        <item x="5"/>
        <item x="0"/>
        <item t="default"/>
      </items>
    </pivotField>
    <pivotField showAll="0"/>
    <pivotField showAll="0"/>
    <pivotField showAll="0"/>
    <pivotField showAll="0"/>
    <pivotField showAll="0"/>
    <pivotField showAll="0"/>
    <pivotField axis="axisRow" showAll="0">
      <items count="7">
        <item x="3"/>
        <item x="0"/>
        <item x="1"/>
        <item x="2"/>
        <item x="5"/>
        <item x="4"/>
        <item t="default"/>
      </items>
    </pivotField>
    <pivotField showAll="0"/>
    <pivotField showAll="0"/>
    <pivotField showAll="0"/>
  </pivotFields>
  <rowFields count="1">
    <field x="18"/>
  </rowFields>
  <rowItems count="6">
    <i>
      <x/>
    </i>
    <i>
      <x v="1"/>
    </i>
    <i>
      <x v="2"/>
    </i>
    <i>
      <x v="3"/>
    </i>
    <i>
      <x v="4"/>
    </i>
    <i>
      <x v="5"/>
    </i>
  </rowItems>
  <colItems count="1">
    <i/>
  </colItems>
  <dataFields count="1">
    <dataField name="Count of Order ID"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3"/>
          </reference>
        </references>
      </pivotArea>
    </chartFormat>
    <chartFormat chart="0" format="4">
      <pivotArea type="data" outline="0" fieldPosition="0">
        <references count="2">
          <reference field="4294967294" count="1" selected="0">
            <x v="0"/>
          </reference>
          <reference field="18" count="1" selected="0">
            <x v="4"/>
          </reference>
        </references>
      </pivotArea>
    </chartFormat>
    <chartFormat chart="0" format="5">
      <pivotArea type="data" outline="0" fieldPosition="0">
        <references count="2">
          <reference field="4294967294" count="1" selected="0">
            <x v="0"/>
          </reference>
          <reference field="18" count="1" selected="0">
            <x v="5"/>
          </reference>
        </references>
      </pivotArea>
    </chartFormat>
    <chartFormat chart="0" format="6">
      <pivotArea type="data" outline="0" fieldPosition="0">
        <references count="2">
          <reference field="4294967294" count="1" selected="0">
            <x v="0"/>
          </reference>
          <reference field="18"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8" count="1" selected="0">
            <x v="0"/>
          </reference>
        </references>
      </pivotArea>
    </chartFormat>
    <chartFormat chart="3" format="16">
      <pivotArea type="data" outline="0" fieldPosition="0">
        <references count="2">
          <reference field="4294967294" count="1" selected="0">
            <x v="0"/>
          </reference>
          <reference field="18" count="1" selected="0">
            <x v="1"/>
          </reference>
        </references>
      </pivotArea>
    </chartFormat>
    <chartFormat chart="3" format="17">
      <pivotArea type="data" outline="0" fieldPosition="0">
        <references count="2">
          <reference field="4294967294" count="1" selected="0">
            <x v="0"/>
          </reference>
          <reference field="18" count="1" selected="0">
            <x v="2"/>
          </reference>
        </references>
      </pivotArea>
    </chartFormat>
    <chartFormat chart="3" format="18">
      <pivotArea type="data" outline="0" fieldPosition="0">
        <references count="2">
          <reference field="4294967294" count="1" selected="0">
            <x v="0"/>
          </reference>
          <reference field="18" count="1" selected="0">
            <x v="3"/>
          </reference>
        </references>
      </pivotArea>
    </chartFormat>
    <chartFormat chart="3" format="19">
      <pivotArea type="data" outline="0" fieldPosition="0">
        <references count="2">
          <reference field="4294967294" count="1" selected="0">
            <x v="0"/>
          </reference>
          <reference field="18" count="1" selected="0">
            <x v="4"/>
          </reference>
        </references>
      </pivotArea>
    </chartFormat>
    <chartFormat chart="3" format="20">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419F3D-CB5A-4953-AEB5-7009B9BAE161}"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6" firstHeaderRow="1" firstDataRow="1" firstDataCol="1"/>
  <pivotFields count="22">
    <pivotField showAll="0"/>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pivotField showAll="0">
      <items count="6">
        <item x="4"/>
        <item x="1"/>
        <item x="3"/>
        <item x="2"/>
        <item x="0"/>
        <item t="default"/>
      </items>
    </pivotField>
    <pivotField showAll="0"/>
    <pivotField showAll="0">
      <items count="9">
        <item x="6"/>
        <item x="2"/>
        <item x="7"/>
        <item x="1"/>
        <item x="4"/>
        <item x="3"/>
        <item x="5"/>
        <item x="0"/>
        <item t="default"/>
      </items>
    </pivotField>
    <pivotField showAll="0"/>
    <pivotField showAll="0"/>
    <pivotField showAll="0"/>
    <pivotField dataField="1" showAll="0"/>
    <pivotField showAll="0"/>
    <pivotField axis="axisRow" showAll="0" measureFilter="1" sortType="descending">
      <items count="6">
        <item x="0"/>
        <item x="1"/>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7"/>
  </rowFields>
  <rowItems count="3">
    <i>
      <x/>
    </i>
    <i>
      <x v="2"/>
    </i>
    <i>
      <x v="1"/>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07D48C-63CE-48E4-8822-9F1091C537BA}"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C7" firstHeaderRow="1" firstDataRow="2" firstDataCol="1"/>
  <pivotFields count="22">
    <pivotField showAll="0"/>
    <pivotField showAll="0"/>
    <pivotField showAll="0"/>
    <pivotField axis="axisCol" showAll="0">
      <items count="3">
        <item x="0"/>
        <item x="1"/>
        <item t="default"/>
      </items>
    </pivotField>
    <pivotField showAll="0"/>
    <pivotField axis="axisRow" showAll="0">
      <items count="4">
        <item x="1"/>
        <item x="2"/>
        <item x="0"/>
        <item t="default"/>
      </items>
    </pivotField>
    <pivotField numFmtId="14" showAll="0"/>
    <pivotField showAll="0">
      <items count="13">
        <item x="0"/>
        <item x="1"/>
        <item x="2"/>
        <item x="3"/>
        <item x="4"/>
        <item x="5"/>
        <item x="6"/>
        <item x="7"/>
        <item x="8"/>
        <item x="9"/>
        <item x="10"/>
        <item x="11"/>
        <item t="default"/>
      </items>
    </pivotField>
    <pivotField showAll="0"/>
    <pivotField showAll="0">
      <items count="6">
        <item x="4"/>
        <item x="1"/>
        <item x="3"/>
        <item x="2"/>
        <item x="0"/>
        <item t="default"/>
      </items>
    </pivotField>
    <pivotField showAll="0"/>
    <pivotField showAll="0">
      <items count="9">
        <item x="6"/>
        <item x="2"/>
        <item x="7"/>
        <item x="1"/>
        <item x="4"/>
        <item x="3"/>
        <item x="5"/>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Sum of Amount" fld="15"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463B2F-F583-4EF5-92D0-A9976EE92648}"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fieldListSortAscending="1">
  <location ref="A3:B8" firstHeaderRow="1" firstDataRow="1" firstDataCol="1"/>
  <pivotFields count="22">
    <pivotField showAll="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pivotField axis="axisRow" showAll="0">
      <items count="6">
        <item x="4"/>
        <item x="1"/>
        <item x="3"/>
        <item x="2"/>
        <item x="0"/>
        <item t="default"/>
      </items>
    </pivotField>
    <pivotField showAll="0"/>
    <pivotField showAll="0">
      <items count="9">
        <item x="6"/>
        <item x="2"/>
        <item x="7"/>
        <item x="1"/>
        <item x="4"/>
        <item x="3"/>
        <item x="5"/>
        <item x="0"/>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x v="4"/>
    </i>
  </rowItems>
  <colItems count="1">
    <i/>
  </colItems>
  <dataFields count="1">
    <dataField name="Count of Order ID" fld="1"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9" count="1" selected="0">
            <x v="0"/>
          </reference>
        </references>
      </pivotArea>
    </chartFormat>
    <chartFormat chart="1" format="8">
      <pivotArea type="data" outline="0" fieldPosition="0">
        <references count="2">
          <reference field="4294967294" count="1" selected="0">
            <x v="0"/>
          </reference>
          <reference field="9" count="1" selected="0">
            <x v="1"/>
          </reference>
        </references>
      </pivotArea>
    </chartFormat>
    <chartFormat chart="1" format="9">
      <pivotArea type="data" outline="0" fieldPosition="0">
        <references count="2">
          <reference field="4294967294" count="1" selected="0">
            <x v="0"/>
          </reference>
          <reference field="9" count="1" selected="0">
            <x v="2"/>
          </reference>
        </references>
      </pivotArea>
    </chartFormat>
    <chartFormat chart="1" format="10">
      <pivotArea type="data" outline="0" fieldPosition="0">
        <references count="2">
          <reference field="4294967294" count="1" selected="0">
            <x v="0"/>
          </reference>
          <reference field="9" count="1" selected="0">
            <x v="3"/>
          </reference>
        </references>
      </pivotArea>
    </chartFormat>
    <chartFormat chart="1" format="11">
      <pivotArea type="data" outline="0" fieldPosition="0">
        <references count="2">
          <reference field="4294967294" count="1" selected="0">
            <x v="0"/>
          </reference>
          <reference field="9"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9" count="1" selected="0">
            <x v="0"/>
          </reference>
        </references>
      </pivotArea>
    </chartFormat>
    <chartFormat chart="2" format="14">
      <pivotArea type="data" outline="0" fieldPosition="0">
        <references count="2">
          <reference field="4294967294" count="1" selected="0">
            <x v="0"/>
          </reference>
          <reference field="9" count="1" selected="0">
            <x v="1"/>
          </reference>
        </references>
      </pivotArea>
    </chartFormat>
    <chartFormat chart="2" format="15">
      <pivotArea type="data" outline="0" fieldPosition="0">
        <references count="2">
          <reference field="4294967294" count="1" selected="0">
            <x v="0"/>
          </reference>
          <reference field="9" count="1" selected="0">
            <x v="2"/>
          </reference>
        </references>
      </pivotArea>
    </chartFormat>
    <chartFormat chart="2" format="16">
      <pivotArea type="data" outline="0" fieldPosition="0">
        <references count="2">
          <reference field="4294967294" count="1" selected="0">
            <x v="0"/>
          </reference>
          <reference field="9" count="1" selected="0">
            <x v="3"/>
          </reference>
        </references>
      </pivotArea>
    </chartFormat>
    <chartFormat chart="2" format="17">
      <pivotArea type="data" outline="0" fieldPosition="0">
        <references count="2">
          <reference field="4294967294" count="1" selected="0">
            <x v="0"/>
          </reference>
          <reference field="9" count="1" selected="0">
            <x v="4"/>
          </reference>
        </references>
      </pivotArea>
    </chartFormat>
    <chartFormat chart="2"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BA2FF07-80F7-4D7B-8B53-156202E13034}" sourceName="Months">
  <pivotTables>
    <pivotTable tabId="5" name="PivotTable3"/>
    <pivotTable tabId="7" name="PivotTable6"/>
    <pivotTable tabId="9" name="PivotTable7"/>
    <pivotTable tabId="4" name="PivotTable2"/>
    <pivotTable tabId="3" name="PivotTable1"/>
    <pivotTable tabId="6" name="PivotTable5"/>
  </pivotTables>
  <data>
    <tabular pivotCacheId="90363719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AB51391-EC31-426A-943A-C16B9A19CAEB}" sourceName="Channel">
  <pivotTables>
    <pivotTable tabId="5" name="PivotTable3"/>
    <pivotTable tabId="7" name="PivotTable6"/>
    <pivotTable tabId="9" name="PivotTable7"/>
    <pivotTable tabId="4" name="PivotTable2"/>
    <pivotTable tabId="3" name="PivotTable1"/>
    <pivotTable tabId="6" name="PivotTable5"/>
  </pivotTables>
  <data>
    <tabular pivotCacheId="903637198">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3E63CC33-3BC9-42CB-987B-6225819AD170}" sourceName="Categories">
  <pivotTables>
    <pivotTable tabId="5" name="PivotTable3"/>
    <pivotTable tabId="7" name="PivotTable6"/>
    <pivotTable tabId="9" name="PivotTable7"/>
    <pivotTable tabId="4" name="PivotTable2"/>
    <pivotTable tabId="3" name="PivotTable1"/>
    <pivotTable tabId="6" name="PivotTable5"/>
  </pivotTables>
  <data>
    <tabular pivotCacheId="903637198">
      <items count="8">
        <i x="6" s="1"/>
        <i x="2" s="1"/>
        <i x="7" s="1"/>
        <i x="1" s="1"/>
        <i x="4" s="1"/>
        <i x="3"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0DBBD3F-F5CA-427F-871A-36E57E6D2AF8}" cache="Slicer_Months" caption="Months" style="SlicerStyleLight2" rowHeight="234950"/>
  <slicer name="Channel" xr10:uid="{5FFF7B7E-BB50-4A2A-AF07-9190AD5DFE3B}" cache="Slicer_Channel" caption="Channel" style="SlicerStyleLight2" rowHeight="234950"/>
  <slicer name="Categories" xr10:uid="{9E8E0231-9D2B-4506-9EA1-BBD63251F1D8}" cache="Slicer_Categories" caption="Categories" columnCount="8"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72D1-0ACB-47E2-85BF-084E7BAF318B}">
  <dimension ref="A1:V51"/>
  <sheetViews>
    <sheetView topLeftCell="D1" workbookViewId="0">
      <selection activeCell="F13" sqref="F13"/>
    </sheetView>
  </sheetViews>
  <sheetFormatPr defaultRowHeight="14.4" x14ac:dyDescent="0.3"/>
  <cols>
    <col min="7" max="7" width="17.6640625" customWidth="1"/>
    <col min="18" max="18" width="16.109375" customWidth="1"/>
    <col min="19" max="19" width="15.109375" customWidth="1"/>
  </cols>
  <sheetData>
    <row r="1" spans="1:22" ht="43.2" x14ac:dyDescent="0.3">
      <c r="A1" s="1" t="s">
        <v>0</v>
      </c>
      <c r="B1" s="2" t="s">
        <v>1</v>
      </c>
      <c r="C1" s="2" t="s">
        <v>2</v>
      </c>
      <c r="D1" s="2" t="s">
        <v>3</v>
      </c>
      <c r="E1" s="1" t="s">
        <v>4</v>
      </c>
      <c r="F1" s="1" t="s">
        <v>5</v>
      </c>
      <c r="G1" s="2" t="s">
        <v>6</v>
      </c>
      <c r="H1" s="2" t="s">
        <v>7</v>
      </c>
      <c r="I1" s="2" t="s">
        <v>8</v>
      </c>
      <c r="J1" s="2" t="s">
        <v>9</v>
      </c>
      <c r="K1" s="2" t="s">
        <v>10</v>
      </c>
      <c r="L1" s="2" t="s">
        <v>11</v>
      </c>
      <c r="M1" s="2" t="s">
        <v>12</v>
      </c>
      <c r="N1" s="1" t="s">
        <v>13</v>
      </c>
      <c r="O1" s="1" t="s">
        <v>14</v>
      </c>
      <c r="P1" s="1" t="s">
        <v>15</v>
      </c>
      <c r="Q1" s="2" t="s">
        <v>16</v>
      </c>
      <c r="R1" s="2" t="s">
        <v>17</v>
      </c>
      <c r="S1" s="2" t="s">
        <v>18</v>
      </c>
      <c r="T1" s="2" t="s">
        <v>19</v>
      </c>
      <c r="U1" s="2" t="s">
        <v>20</v>
      </c>
      <c r="V1" s="2" t="s">
        <v>21</v>
      </c>
    </row>
    <row r="2" spans="1:22" ht="28.8" x14ac:dyDescent="0.3">
      <c r="A2" s="3">
        <v>1</v>
      </c>
      <c r="B2" s="4" t="s">
        <v>22</v>
      </c>
      <c r="C2" s="4" t="s">
        <v>23</v>
      </c>
      <c r="D2" s="4" t="s">
        <v>24</v>
      </c>
      <c r="E2" s="3">
        <v>24</v>
      </c>
      <c r="F2" s="3" t="str">
        <f>IF(E2&gt;=50,"Senior",IF(E2&gt;=30,"Adult","Teenager"))</f>
        <v>Teenager</v>
      </c>
      <c r="G2" s="5">
        <v>45662</v>
      </c>
      <c r="H2" s="5" t="str">
        <f>TEXT(G2,"mmm")</f>
        <v>Jan</v>
      </c>
      <c r="I2" s="4" t="s">
        <v>25</v>
      </c>
      <c r="J2" s="4" t="s">
        <v>26</v>
      </c>
      <c r="K2" s="4" t="s">
        <v>27</v>
      </c>
      <c r="L2" s="4" t="s">
        <v>28</v>
      </c>
      <c r="M2" s="4" t="s">
        <v>29</v>
      </c>
      <c r="N2" s="3">
        <v>2</v>
      </c>
      <c r="O2" s="3">
        <v>899</v>
      </c>
      <c r="P2" s="3">
        <v>1798</v>
      </c>
      <c r="Q2" s="4" t="s">
        <v>30</v>
      </c>
      <c r="R2" s="4" t="s">
        <v>31</v>
      </c>
      <c r="S2" s="4" t="s">
        <v>25</v>
      </c>
      <c r="T2" s="4">
        <v>44600</v>
      </c>
      <c r="U2" s="4" t="s">
        <v>32</v>
      </c>
      <c r="V2" s="4" t="s">
        <v>33</v>
      </c>
    </row>
    <row r="3" spans="1:22" ht="28.8" x14ac:dyDescent="0.3">
      <c r="A3" s="3">
        <v>2</v>
      </c>
      <c r="B3" s="4" t="s">
        <v>34</v>
      </c>
      <c r="C3" s="4" t="s">
        <v>35</v>
      </c>
      <c r="D3" s="4" t="s">
        <v>36</v>
      </c>
      <c r="E3" s="3">
        <v>31</v>
      </c>
      <c r="F3" s="3" t="str">
        <f t="shared" ref="F3:F51" si="0">IF(E3&gt;=50,"Senior",IF(E3&gt;=30,"Adult","Teenager"))</f>
        <v>Adult</v>
      </c>
      <c r="G3" s="5">
        <v>45675</v>
      </c>
      <c r="H3" s="5" t="str">
        <f t="shared" ref="H3:H51" si="1">TEXT(G3,"mmm")</f>
        <v>Jan</v>
      </c>
      <c r="I3" s="4" t="s">
        <v>37</v>
      </c>
      <c r="J3" s="4" t="s">
        <v>38</v>
      </c>
      <c r="K3" s="4" t="s">
        <v>39</v>
      </c>
      <c r="L3" s="4" t="s">
        <v>40</v>
      </c>
      <c r="M3" s="4" t="s">
        <v>41</v>
      </c>
      <c r="N3" s="3">
        <v>1</v>
      </c>
      <c r="O3" s="3">
        <v>2499</v>
      </c>
      <c r="P3" s="3">
        <v>2499</v>
      </c>
      <c r="Q3" s="4" t="s">
        <v>42</v>
      </c>
      <c r="R3" s="4" t="s">
        <v>31</v>
      </c>
      <c r="S3" s="4" t="s">
        <v>43</v>
      </c>
      <c r="T3" s="4">
        <v>44700</v>
      </c>
      <c r="U3" s="4" t="s">
        <v>32</v>
      </c>
      <c r="V3" s="4" t="s">
        <v>33</v>
      </c>
    </row>
    <row r="4" spans="1:22" ht="28.8" x14ac:dyDescent="0.3">
      <c r="A4" s="3">
        <v>3</v>
      </c>
      <c r="B4" s="4" t="s">
        <v>44</v>
      </c>
      <c r="C4" s="4" t="s">
        <v>45</v>
      </c>
      <c r="D4" s="4" t="s">
        <v>24</v>
      </c>
      <c r="E4" s="3">
        <v>28</v>
      </c>
      <c r="F4" s="3" t="str">
        <f t="shared" si="0"/>
        <v>Teenager</v>
      </c>
      <c r="G4" s="5">
        <v>45691</v>
      </c>
      <c r="H4" s="5" t="str">
        <f t="shared" si="1"/>
        <v>Feb</v>
      </c>
      <c r="I4" s="4" t="s">
        <v>25</v>
      </c>
      <c r="J4" s="4" t="s">
        <v>46</v>
      </c>
      <c r="K4" s="4" t="s">
        <v>47</v>
      </c>
      <c r="L4" s="4" t="s">
        <v>48</v>
      </c>
      <c r="M4" s="4" t="s">
        <v>49</v>
      </c>
      <c r="N4" s="3">
        <v>1</v>
      </c>
      <c r="O4" s="3">
        <v>3299</v>
      </c>
      <c r="P4" s="3">
        <v>3299</v>
      </c>
      <c r="Q4" s="4" t="s">
        <v>50</v>
      </c>
      <c r="R4" s="4" t="s">
        <v>51</v>
      </c>
      <c r="S4" s="4" t="s">
        <v>25</v>
      </c>
      <c r="T4" s="4">
        <v>33700</v>
      </c>
      <c r="U4" s="4" t="s">
        <v>32</v>
      </c>
      <c r="V4" s="4" t="s">
        <v>33</v>
      </c>
    </row>
    <row r="5" spans="1:22" ht="28.8" x14ac:dyDescent="0.3">
      <c r="A5" s="3">
        <v>4</v>
      </c>
      <c r="B5" s="4" t="s">
        <v>52</v>
      </c>
      <c r="C5" s="4" t="s">
        <v>53</v>
      </c>
      <c r="D5" s="4" t="s">
        <v>36</v>
      </c>
      <c r="E5" s="3">
        <v>42</v>
      </c>
      <c r="F5" s="3" t="str">
        <f t="shared" si="0"/>
        <v>Adult</v>
      </c>
      <c r="G5" s="5">
        <v>45709</v>
      </c>
      <c r="H5" s="5" t="str">
        <f t="shared" si="1"/>
        <v>Feb</v>
      </c>
      <c r="I5" s="4" t="s">
        <v>54</v>
      </c>
      <c r="J5" s="4" t="s">
        <v>26</v>
      </c>
      <c r="K5" s="4" t="s">
        <v>55</v>
      </c>
      <c r="L5" s="4" t="s">
        <v>56</v>
      </c>
      <c r="M5" s="4" t="s">
        <v>57</v>
      </c>
      <c r="N5" s="3">
        <v>3</v>
      </c>
      <c r="O5" s="3">
        <v>1599</v>
      </c>
      <c r="P5" s="3">
        <v>4797</v>
      </c>
      <c r="Q5" s="4" t="s">
        <v>58</v>
      </c>
      <c r="R5" s="4" t="s">
        <v>31</v>
      </c>
      <c r="S5" s="4" t="s">
        <v>54</v>
      </c>
      <c r="T5" s="4">
        <v>44200</v>
      </c>
      <c r="U5" s="4" t="s">
        <v>32</v>
      </c>
      <c r="V5" s="4" t="s">
        <v>59</v>
      </c>
    </row>
    <row r="6" spans="1:22" ht="28.8" x14ac:dyDescent="0.3">
      <c r="A6" s="3">
        <v>5</v>
      </c>
      <c r="B6" s="4" t="s">
        <v>60</v>
      </c>
      <c r="C6" s="4" t="s">
        <v>61</v>
      </c>
      <c r="D6" s="4" t="s">
        <v>24</v>
      </c>
      <c r="E6" s="3">
        <v>35</v>
      </c>
      <c r="F6" s="3" t="str">
        <f t="shared" si="0"/>
        <v>Adult</v>
      </c>
      <c r="G6" s="5">
        <v>45723</v>
      </c>
      <c r="H6" s="5" t="str">
        <f t="shared" si="1"/>
        <v>Mar</v>
      </c>
      <c r="I6" s="4" t="s">
        <v>25</v>
      </c>
      <c r="J6" s="4" t="s">
        <v>62</v>
      </c>
      <c r="K6" s="4" t="s">
        <v>63</v>
      </c>
      <c r="L6" s="4" t="s">
        <v>64</v>
      </c>
      <c r="M6" s="4" t="s">
        <v>29</v>
      </c>
      <c r="N6" s="3">
        <v>2</v>
      </c>
      <c r="O6" s="3">
        <v>1899</v>
      </c>
      <c r="P6" s="3">
        <v>3798</v>
      </c>
      <c r="Q6" s="4" t="s">
        <v>65</v>
      </c>
      <c r="R6" s="4" t="s">
        <v>66</v>
      </c>
      <c r="S6" s="4" t="s">
        <v>25</v>
      </c>
      <c r="T6" s="4">
        <v>56613</v>
      </c>
      <c r="U6" s="4" t="s">
        <v>32</v>
      </c>
      <c r="V6" s="4" t="s">
        <v>33</v>
      </c>
    </row>
    <row r="7" spans="1:22" ht="28.8" x14ac:dyDescent="0.3">
      <c r="A7" s="3">
        <v>6</v>
      </c>
      <c r="B7" s="4" t="s">
        <v>67</v>
      </c>
      <c r="C7" s="4" t="s">
        <v>68</v>
      </c>
      <c r="D7" s="4" t="s">
        <v>36</v>
      </c>
      <c r="E7" s="3">
        <v>26</v>
      </c>
      <c r="F7" s="3" t="str">
        <f t="shared" si="0"/>
        <v>Teenager</v>
      </c>
      <c r="G7" s="5">
        <v>45741</v>
      </c>
      <c r="H7" s="5" t="str">
        <f t="shared" si="1"/>
        <v>Mar</v>
      </c>
      <c r="I7" s="4" t="s">
        <v>69</v>
      </c>
      <c r="J7" s="4" t="s">
        <v>26</v>
      </c>
      <c r="K7" s="4" t="s">
        <v>70</v>
      </c>
      <c r="L7" s="4" t="s">
        <v>71</v>
      </c>
      <c r="M7" s="4" t="s">
        <v>41</v>
      </c>
      <c r="N7" s="3">
        <v>1</v>
      </c>
      <c r="O7" s="3">
        <v>4499</v>
      </c>
      <c r="P7" s="3">
        <v>4499</v>
      </c>
      <c r="Q7" s="4" t="s">
        <v>72</v>
      </c>
      <c r="R7" s="4" t="s">
        <v>73</v>
      </c>
      <c r="S7" s="4" t="s">
        <v>69</v>
      </c>
      <c r="T7" s="4">
        <v>44300</v>
      </c>
      <c r="U7" s="4" t="s">
        <v>32</v>
      </c>
      <c r="V7" s="4" t="s">
        <v>33</v>
      </c>
    </row>
    <row r="8" spans="1:22" ht="28.8" x14ac:dyDescent="0.3">
      <c r="A8" s="3">
        <v>7</v>
      </c>
      <c r="B8" s="4" t="s">
        <v>74</v>
      </c>
      <c r="C8" s="4" t="s">
        <v>75</v>
      </c>
      <c r="D8" s="4" t="s">
        <v>24</v>
      </c>
      <c r="E8" s="3">
        <v>22</v>
      </c>
      <c r="F8" s="3" t="str">
        <f t="shared" si="0"/>
        <v>Teenager</v>
      </c>
      <c r="G8" s="5">
        <v>45749</v>
      </c>
      <c r="H8" s="5" t="str">
        <f t="shared" si="1"/>
        <v>Apr</v>
      </c>
      <c r="I8" s="4" t="s">
        <v>37</v>
      </c>
      <c r="J8" s="4" t="s">
        <v>76</v>
      </c>
      <c r="K8" s="4" t="s">
        <v>77</v>
      </c>
      <c r="L8" s="4" t="s">
        <v>78</v>
      </c>
      <c r="M8" s="4" t="s">
        <v>49</v>
      </c>
      <c r="N8" s="3">
        <v>2</v>
      </c>
      <c r="O8" s="3">
        <v>799</v>
      </c>
      <c r="P8" s="3">
        <v>1598</v>
      </c>
      <c r="Q8" s="4" t="s">
        <v>79</v>
      </c>
      <c r="R8" s="4" t="s">
        <v>80</v>
      </c>
      <c r="S8" s="4" t="s">
        <v>37</v>
      </c>
      <c r="T8" s="4">
        <v>32907</v>
      </c>
      <c r="U8" s="4" t="s">
        <v>32</v>
      </c>
      <c r="V8" s="4" t="s">
        <v>33</v>
      </c>
    </row>
    <row r="9" spans="1:22" ht="28.8" x14ac:dyDescent="0.3">
      <c r="A9" s="3">
        <v>8</v>
      </c>
      <c r="B9" s="4" t="s">
        <v>81</v>
      </c>
      <c r="C9" s="4" t="s">
        <v>82</v>
      </c>
      <c r="D9" s="4" t="s">
        <v>36</v>
      </c>
      <c r="E9" s="3">
        <v>39</v>
      </c>
      <c r="F9" s="3" t="str">
        <f t="shared" si="0"/>
        <v>Adult</v>
      </c>
      <c r="G9" s="5">
        <v>45766</v>
      </c>
      <c r="H9" s="5" t="str">
        <f t="shared" si="1"/>
        <v>Apr</v>
      </c>
      <c r="I9" s="4" t="s">
        <v>25</v>
      </c>
      <c r="J9" s="4" t="s">
        <v>38</v>
      </c>
      <c r="K9" s="4" t="s">
        <v>83</v>
      </c>
      <c r="L9" s="4" t="s">
        <v>84</v>
      </c>
      <c r="M9" s="4" t="s">
        <v>57</v>
      </c>
      <c r="N9" s="3">
        <v>1</v>
      </c>
      <c r="O9" s="3">
        <v>5499</v>
      </c>
      <c r="P9" s="3">
        <v>5499</v>
      </c>
      <c r="Q9" s="4" t="s">
        <v>85</v>
      </c>
      <c r="R9" s="4" t="s">
        <v>66</v>
      </c>
      <c r="S9" s="4" t="s">
        <v>25</v>
      </c>
      <c r="T9" s="4">
        <v>56700</v>
      </c>
      <c r="U9" s="4" t="s">
        <v>32</v>
      </c>
      <c r="V9" s="4" t="s">
        <v>59</v>
      </c>
    </row>
    <row r="10" spans="1:22" ht="28.8" x14ac:dyDescent="0.3">
      <c r="A10" s="3">
        <v>9</v>
      </c>
      <c r="B10" s="4" t="s">
        <v>86</v>
      </c>
      <c r="C10" s="4" t="s">
        <v>87</v>
      </c>
      <c r="D10" s="4" t="s">
        <v>24</v>
      </c>
      <c r="E10" s="3">
        <v>29</v>
      </c>
      <c r="F10" s="3" t="str">
        <f t="shared" si="0"/>
        <v>Teenager</v>
      </c>
      <c r="G10" s="5">
        <v>45783</v>
      </c>
      <c r="H10" s="5" t="str">
        <f t="shared" si="1"/>
        <v>May</v>
      </c>
      <c r="I10" s="4" t="s">
        <v>88</v>
      </c>
      <c r="J10" s="4" t="s">
        <v>46</v>
      </c>
      <c r="K10" s="4" t="s">
        <v>89</v>
      </c>
      <c r="L10" s="4" t="s">
        <v>28</v>
      </c>
      <c r="M10" s="4" t="s">
        <v>41</v>
      </c>
      <c r="N10" s="3">
        <v>1</v>
      </c>
      <c r="O10" s="3">
        <v>999</v>
      </c>
      <c r="P10" s="3">
        <v>999</v>
      </c>
      <c r="Q10" s="4" t="s">
        <v>30</v>
      </c>
      <c r="R10" s="4" t="s">
        <v>31</v>
      </c>
      <c r="S10" s="4" t="s">
        <v>88</v>
      </c>
      <c r="T10" s="4">
        <v>44600</v>
      </c>
      <c r="U10" s="4" t="s">
        <v>32</v>
      </c>
      <c r="V10" s="4" t="s">
        <v>33</v>
      </c>
    </row>
    <row r="11" spans="1:22" ht="28.8" x14ac:dyDescent="0.3">
      <c r="A11" s="3">
        <v>10</v>
      </c>
      <c r="B11" s="4" t="s">
        <v>90</v>
      </c>
      <c r="C11" s="4" t="s">
        <v>91</v>
      </c>
      <c r="D11" s="4" t="s">
        <v>36</v>
      </c>
      <c r="E11" s="3">
        <v>45</v>
      </c>
      <c r="F11" s="3" t="str">
        <f t="shared" si="0"/>
        <v>Adult</v>
      </c>
      <c r="G11" s="5">
        <v>45801</v>
      </c>
      <c r="H11" s="5" t="str">
        <f t="shared" si="1"/>
        <v>May</v>
      </c>
      <c r="I11" s="4" t="s">
        <v>25</v>
      </c>
      <c r="J11" s="4" t="s">
        <v>26</v>
      </c>
      <c r="K11" s="4" t="s">
        <v>92</v>
      </c>
      <c r="L11" s="4" t="s">
        <v>56</v>
      </c>
      <c r="M11" s="4" t="s">
        <v>29</v>
      </c>
      <c r="N11" s="3">
        <v>2</v>
      </c>
      <c r="O11" s="3">
        <v>1799</v>
      </c>
      <c r="P11" s="3">
        <v>3598</v>
      </c>
      <c r="Q11" s="4" t="s">
        <v>42</v>
      </c>
      <c r="R11" s="4" t="s">
        <v>31</v>
      </c>
      <c r="S11" s="4" t="s">
        <v>25</v>
      </c>
      <c r="T11" s="4">
        <v>44700</v>
      </c>
      <c r="U11" s="4" t="s">
        <v>32</v>
      </c>
      <c r="V11" s="4" t="s">
        <v>59</v>
      </c>
    </row>
    <row r="12" spans="1:22" ht="28.8" x14ac:dyDescent="0.3">
      <c r="A12" s="3">
        <v>11</v>
      </c>
      <c r="B12" s="4" t="s">
        <v>93</v>
      </c>
      <c r="C12" s="4" t="s">
        <v>94</v>
      </c>
      <c r="D12" s="4" t="s">
        <v>24</v>
      </c>
      <c r="E12" s="3">
        <v>33</v>
      </c>
      <c r="F12" s="3" t="str">
        <f t="shared" si="0"/>
        <v>Adult</v>
      </c>
      <c r="G12" s="5">
        <v>45811</v>
      </c>
      <c r="H12" s="5" t="str">
        <f t="shared" si="1"/>
        <v>Jun</v>
      </c>
      <c r="I12" s="4" t="s">
        <v>37</v>
      </c>
      <c r="J12" s="4" t="s">
        <v>62</v>
      </c>
      <c r="K12" s="4" t="s">
        <v>95</v>
      </c>
      <c r="L12" s="4" t="s">
        <v>40</v>
      </c>
      <c r="M12" s="4" t="s">
        <v>29</v>
      </c>
      <c r="N12" s="3">
        <v>1</v>
      </c>
      <c r="O12" s="3">
        <v>2899</v>
      </c>
      <c r="P12" s="3">
        <v>2899</v>
      </c>
      <c r="Q12" s="4" t="s">
        <v>50</v>
      </c>
      <c r="R12" s="4" t="s">
        <v>51</v>
      </c>
      <c r="S12" s="4" t="s">
        <v>37</v>
      </c>
      <c r="T12" s="4">
        <v>33700</v>
      </c>
      <c r="U12" s="4" t="s">
        <v>32</v>
      </c>
      <c r="V12" s="4" t="s">
        <v>33</v>
      </c>
    </row>
    <row r="13" spans="1:22" ht="28.8" x14ac:dyDescent="0.3">
      <c r="A13" s="3">
        <v>12</v>
      </c>
      <c r="B13" s="4" t="s">
        <v>96</v>
      </c>
      <c r="C13" s="4" t="s">
        <v>97</v>
      </c>
      <c r="D13" s="4" t="s">
        <v>36</v>
      </c>
      <c r="E13" s="3">
        <v>27</v>
      </c>
      <c r="F13" s="3" t="str">
        <f t="shared" si="0"/>
        <v>Teenager</v>
      </c>
      <c r="G13" s="5">
        <v>45828</v>
      </c>
      <c r="H13" s="5" t="str">
        <f t="shared" si="1"/>
        <v>Jun</v>
      </c>
      <c r="I13" s="4" t="s">
        <v>25</v>
      </c>
      <c r="J13" s="4" t="s">
        <v>76</v>
      </c>
      <c r="K13" s="4" t="s">
        <v>98</v>
      </c>
      <c r="L13" s="4" t="s">
        <v>71</v>
      </c>
      <c r="M13" s="4" t="s">
        <v>57</v>
      </c>
      <c r="N13" s="3">
        <v>1</v>
      </c>
      <c r="O13" s="3">
        <v>5999</v>
      </c>
      <c r="P13" s="3">
        <v>5999</v>
      </c>
      <c r="Q13" s="4" t="s">
        <v>30</v>
      </c>
      <c r="R13" s="4" t="s">
        <v>31</v>
      </c>
      <c r="S13" s="4" t="s">
        <v>25</v>
      </c>
      <c r="T13" s="4">
        <v>44600</v>
      </c>
      <c r="U13" s="4" t="s">
        <v>32</v>
      </c>
      <c r="V13" s="4" t="s">
        <v>33</v>
      </c>
    </row>
    <row r="14" spans="1:22" ht="28.8" x14ac:dyDescent="0.3">
      <c r="A14" s="3">
        <v>13</v>
      </c>
      <c r="B14" s="4" t="s">
        <v>99</v>
      </c>
      <c r="C14" s="4" t="s">
        <v>100</v>
      </c>
      <c r="D14" s="4" t="s">
        <v>24</v>
      </c>
      <c r="E14" s="3">
        <v>41</v>
      </c>
      <c r="F14" s="3" t="str">
        <f t="shared" si="0"/>
        <v>Adult</v>
      </c>
      <c r="G14" s="5">
        <v>45842</v>
      </c>
      <c r="H14" s="5" t="str">
        <f t="shared" si="1"/>
        <v>Jul</v>
      </c>
      <c r="I14" s="4" t="s">
        <v>54</v>
      </c>
      <c r="J14" s="4" t="s">
        <v>26</v>
      </c>
      <c r="K14" s="4" t="s">
        <v>101</v>
      </c>
      <c r="L14" s="4" t="s">
        <v>48</v>
      </c>
      <c r="M14" s="4" t="s">
        <v>57</v>
      </c>
      <c r="N14" s="3">
        <v>2</v>
      </c>
      <c r="O14" s="3">
        <v>3999</v>
      </c>
      <c r="P14" s="3">
        <v>7998</v>
      </c>
      <c r="Q14" s="4" t="s">
        <v>58</v>
      </c>
      <c r="R14" s="4" t="s">
        <v>31</v>
      </c>
      <c r="S14" s="4" t="s">
        <v>54</v>
      </c>
      <c r="T14" s="4">
        <v>44200</v>
      </c>
      <c r="U14" s="4" t="s">
        <v>32</v>
      </c>
      <c r="V14" s="4" t="s">
        <v>59</v>
      </c>
    </row>
    <row r="15" spans="1:22" ht="28.8" x14ac:dyDescent="0.3">
      <c r="A15" s="3">
        <v>14</v>
      </c>
      <c r="B15" s="4" t="s">
        <v>102</v>
      </c>
      <c r="C15" s="4" t="s">
        <v>103</v>
      </c>
      <c r="D15" s="4" t="s">
        <v>36</v>
      </c>
      <c r="E15" s="3">
        <v>36</v>
      </c>
      <c r="F15" s="3" t="str">
        <f t="shared" si="0"/>
        <v>Adult</v>
      </c>
      <c r="G15" s="5">
        <v>45860</v>
      </c>
      <c r="H15" s="5" t="str">
        <f t="shared" si="1"/>
        <v>Jul</v>
      </c>
      <c r="I15" s="4" t="s">
        <v>25</v>
      </c>
      <c r="J15" s="4" t="s">
        <v>38</v>
      </c>
      <c r="K15" s="4" t="s">
        <v>104</v>
      </c>
      <c r="L15" s="4" t="s">
        <v>84</v>
      </c>
      <c r="M15" s="4" t="s">
        <v>41</v>
      </c>
      <c r="N15" s="3">
        <v>1</v>
      </c>
      <c r="O15" s="3">
        <v>4999</v>
      </c>
      <c r="P15" s="3">
        <v>4999</v>
      </c>
      <c r="Q15" s="4" t="s">
        <v>65</v>
      </c>
      <c r="R15" s="4" t="s">
        <v>66</v>
      </c>
      <c r="S15" s="4" t="s">
        <v>25</v>
      </c>
      <c r="T15" s="4">
        <v>56613</v>
      </c>
      <c r="U15" s="4" t="s">
        <v>32</v>
      </c>
      <c r="V15" s="4" t="s">
        <v>59</v>
      </c>
    </row>
    <row r="16" spans="1:22" ht="28.8" x14ac:dyDescent="0.3">
      <c r="A16" s="3">
        <v>15</v>
      </c>
      <c r="B16" s="4" t="s">
        <v>105</v>
      </c>
      <c r="C16" s="4" t="s">
        <v>106</v>
      </c>
      <c r="D16" s="4" t="s">
        <v>24</v>
      </c>
      <c r="E16" s="3">
        <v>25</v>
      </c>
      <c r="F16" s="3" t="str">
        <f t="shared" si="0"/>
        <v>Teenager</v>
      </c>
      <c r="G16" s="5">
        <v>45874</v>
      </c>
      <c r="H16" s="5" t="str">
        <f t="shared" si="1"/>
        <v>Aug</v>
      </c>
      <c r="I16" s="4" t="s">
        <v>37</v>
      </c>
      <c r="J16" s="4" t="s">
        <v>46</v>
      </c>
      <c r="K16" s="4" t="s">
        <v>107</v>
      </c>
      <c r="L16" s="4" t="s">
        <v>64</v>
      </c>
      <c r="M16" s="4" t="s">
        <v>49</v>
      </c>
      <c r="N16" s="3">
        <v>2</v>
      </c>
      <c r="O16" s="3">
        <v>1699</v>
      </c>
      <c r="P16" s="3">
        <v>3398</v>
      </c>
      <c r="Q16" s="4" t="s">
        <v>79</v>
      </c>
      <c r="R16" s="4" t="s">
        <v>80</v>
      </c>
      <c r="S16" s="4" t="s">
        <v>43</v>
      </c>
      <c r="T16" s="4">
        <v>32907</v>
      </c>
      <c r="U16" s="4" t="s">
        <v>32</v>
      </c>
      <c r="V16" s="4" t="s">
        <v>33</v>
      </c>
    </row>
    <row r="17" spans="1:22" ht="28.8" x14ac:dyDescent="0.3">
      <c r="A17" s="3">
        <v>16</v>
      </c>
      <c r="B17" s="4" t="s">
        <v>108</v>
      </c>
      <c r="C17" s="4" t="s">
        <v>109</v>
      </c>
      <c r="D17" s="4" t="s">
        <v>36</v>
      </c>
      <c r="E17" s="3">
        <v>52</v>
      </c>
      <c r="F17" s="3" t="str">
        <f t="shared" si="0"/>
        <v>Senior</v>
      </c>
      <c r="G17" s="5">
        <v>45892</v>
      </c>
      <c r="H17" s="5" t="str">
        <f t="shared" si="1"/>
        <v>Aug</v>
      </c>
      <c r="I17" s="4" t="s">
        <v>25</v>
      </c>
      <c r="J17" s="4" t="s">
        <v>26</v>
      </c>
      <c r="K17" s="4" t="s">
        <v>110</v>
      </c>
      <c r="L17" s="4" t="s">
        <v>28</v>
      </c>
      <c r="M17" s="4" t="s">
        <v>111</v>
      </c>
      <c r="N17" s="3">
        <v>3</v>
      </c>
      <c r="O17" s="3">
        <v>1099</v>
      </c>
      <c r="P17" s="3">
        <v>3297</v>
      </c>
      <c r="Q17" s="4" t="s">
        <v>85</v>
      </c>
      <c r="R17" s="4" t="s">
        <v>66</v>
      </c>
      <c r="S17" s="4" t="s">
        <v>25</v>
      </c>
      <c r="T17" s="4">
        <v>56700</v>
      </c>
      <c r="U17" s="4" t="s">
        <v>32</v>
      </c>
      <c r="V17" s="4" t="s">
        <v>59</v>
      </c>
    </row>
    <row r="18" spans="1:22" ht="28.8" x14ac:dyDescent="0.3">
      <c r="A18" s="3">
        <v>17</v>
      </c>
      <c r="B18" s="4" t="s">
        <v>112</v>
      </c>
      <c r="C18" s="4" t="s">
        <v>113</v>
      </c>
      <c r="D18" s="4" t="s">
        <v>24</v>
      </c>
      <c r="E18" s="3">
        <v>30</v>
      </c>
      <c r="F18" s="3" t="str">
        <f t="shared" si="0"/>
        <v>Adult</v>
      </c>
      <c r="G18" s="5">
        <v>45902</v>
      </c>
      <c r="H18" s="5" t="str">
        <f t="shared" si="1"/>
        <v>Sep</v>
      </c>
      <c r="I18" s="4" t="s">
        <v>69</v>
      </c>
      <c r="J18" s="4" t="s">
        <v>62</v>
      </c>
      <c r="K18" s="4" t="s">
        <v>114</v>
      </c>
      <c r="L18" s="4" t="s">
        <v>78</v>
      </c>
      <c r="M18" s="4" t="s">
        <v>29</v>
      </c>
      <c r="N18" s="3">
        <v>1</v>
      </c>
      <c r="O18" s="3">
        <v>599</v>
      </c>
      <c r="P18" s="3">
        <v>599</v>
      </c>
      <c r="Q18" s="4" t="s">
        <v>72</v>
      </c>
      <c r="R18" s="4" t="s">
        <v>73</v>
      </c>
      <c r="S18" s="4" t="s">
        <v>69</v>
      </c>
      <c r="T18" s="4">
        <v>44300</v>
      </c>
      <c r="U18" s="4" t="s">
        <v>32</v>
      </c>
      <c r="V18" s="4" t="s">
        <v>33</v>
      </c>
    </row>
    <row r="19" spans="1:22" ht="28.8" x14ac:dyDescent="0.3">
      <c r="A19" s="3">
        <v>18</v>
      </c>
      <c r="B19" s="4" t="s">
        <v>115</v>
      </c>
      <c r="C19" s="4" t="s">
        <v>116</v>
      </c>
      <c r="D19" s="4" t="s">
        <v>36</v>
      </c>
      <c r="E19" s="3">
        <v>34</v>
      </c>
      <c r="F19" s="3" t="str">
        <f t="shared" si="0"/>
        <v>Adult</v>
      </c>
      <c r="G19" s="5">
        <v>45919</v>
      </c>
      <c r="H19" s="5" t="str">
        <f t="shared" si="1"/>
        <v>Sep</v>
      </c>
      <c r="I19" s="4" t="s">
        <v>25</v>
      </c>
      <c r="J19" s="4" t="s">
        <v>76</v>
      </c>
      <c r="K19" s="4" t="s">
        <v>117</v>
      </c>
      <c r="L19" s="4" t="s">
        <v>40</v>
      </c>
      <c r="M19" s="4" t="s">
        <v>41</v>
      </c>
      <c r="N19" s="3">
        <v>2</v>
      </c>
      <c r="O19" s="3">
        <v>3199</v>
      </c>
      <c r="P19" s="3">
        <v>6398</v>
      </c>
      <c r="Q19" s="4" t="s">
        <v>30</v>
      </c>
      <c r="R19" s="4" t="s">
        <v>31</v>
      </c>
      <c r="S19" s="4" t="s">
        <v>25</v>
      </c>
      <c r="T19" s="4">
        <v>44600</v>
      </c>
      <c r="U19" s="4" t="s">
        <v>32</v>
      </c>
      <c r="V19" s="4" t="s">
        <v>33</v>
      </c>
    </row>
    <row r="20" spans="1:22" ht="28.8" x14ac:dyDescent="0.3">
      <c r="A20" s="3">
        <v>19</v>
      </c>
      <c r="B20" s="4" t="s">
        <v>118</v>
      </c>
      <c r="C20" s="4" t="s">
        <v>119</v>
      </c>
      <c r="D20" s="4" t="s">
        <v>24</v>
      </c>
      <c r="E20" s="3">
        <v>38</v>
      </c>
      <c r="F20" s="3" t="str">
        <f t="shared" si="0"/>
        <v>Adult</v>
      </c>
      <c r="G20" s="5">
        <v>45937</v>
      </c>
      <c r="H20" s="5" t="str">
        <f t="shared" si="1"/>
        <v>Oct</v>
      </c>
      <c r="I20" s="4" t="s">
        <v>88</v>
      </c>
      <c r="J20" s="4" t="s">
        <v>38</v>
      </c>
      <c r="K20" s="4" t="s">
        <v>120</v>
      </c>
      <c r="L20" s="4" t="s">
        <v>48</v>
      </c>
      <c r="M20" s="4" t="s">
        <v>29</v>
      </c>
      <c r="N20" s="3">
        <v>1</v>
      </c>
      <c r="O20" s="3">
        <v>3599</v>
      </c>
      <c r="P20" s="3">
        <v>3599</v>
      </c>
      <c r="Q20" s="4" t="s">
        <v>42</v>
      </c>
      <c r="R20" s="4" t="s">
        <v>31</v>
      </c>
      <c r="S20" s="4" t="s">
        <v>88</v>
      </c>
      <c r="T20" s="4">
        <v>44700</v>
      </c>
      <c r="U20" s="4" t="s">
        <v>32</v>
      </c>
      <c r="V20" s="4" t="s">
        <v>33</v>
      </c>
    </row>
    <row r="21" spans="1:22" ht="28.8" x14ac:dyDescent="0.3">
      <c r="A21" s="3">
        <v>20</v>
      </c>
      <c r="B21" s="4" t="s">
        <v>121</v>
      </c>
      <c r="C21" s="4" t="s">
        <v>122</v>
      </c>
      <c r="D21" s="4" t="s">
        <v>36</v>
      </c>
      <c r="E21" s="3">
        <v>29</v>
      </c>
      <c r="F21" s="3" t="str">
        <f t="shared" si="0"/>
        <v>Teenager</v>
      </c>
      <c r="G21" s="5">
        <v>45955</v>
      </c>
      <c r="H21" s="5" t="str">
        <f t="shared" si="1"/>
        <v>Oct</v>
      </c>
      <c r="I21" s="4" t="s">
        <v>25</v>
      </c>
      <c r="J21" s="4" t="s">
        <v>26</v>
      </c>
      <c r="K21" s="4" t="s">
        <v>123</v>
      </c>
      <c r="L21" s="4" t="s">
        <v>71</v>
      </c>
      <c r="M21" s="4" t="s">
        <v>29</v>
      </c>
      <c r="N21" s="3">
        <v>2</v>
      </c>
      <c r="O21" s="3">
        <v>5299</v>
      </c>
      <c r="P21" s="3">
        <v>10598</v>
      </c>
      <c r="Q21" s="4" t="s">
        <v>50</v>
      </c>
      <c r="R21" s="4" t="s">
        <v>51</v>
      </c>
      <c r="S21" s="4" t="s">
        <v>25</v>
      </c>
      <c r="T21" s="4">
        <v>33700</v>
      </c>
      <c r="U21" s="4" t="s">
        <v>32</v>
      </c>
      <c r="V21" s="4" t="s">
        <v>59</v>
      </c>
    </row>
    <row r="22" spans="1:22" ht="28.8" x14ac:dyDescent="0.3">
      <c r="A22" s="3">
        <v>21</v>
      </c>
      <c r="B22" s="4" t="s">
        <v>124</v>
      </c>
      <c r="C22" s="4" t="s">
        <v>125</v>
      </c>
      <c r="D22" s="4" t="s">
        <v>24</v>
      </c>
      <c r="E22" s="3">
        <v>26</v>
      </c>
      <c r="F22" s="3" t="str">
        <f t="shared" si="0"/>
        <v>Teenager</v>
      </c>
      <c r="G22" s="5">
        <v>45965</v>
      </c>
      <c r="H22" s="5" t="str">
        <f t="shared" si="1"/>
        <v>Nov</v>
      </c>
      <c r="I22" s="4" t="s">
        <v>37</v>
      </c>
      <c r="J22" s="4" t="s">
        <v>76</v>
      </c>
      <c r="K22" s="4" t="s">
        <v>126</v>
      </c>
      <c r="L22" s="4" t="s">
        <v>28</v>
      </c>
      <c r="M22" s="4" t="s">
        <v>49</v>
      </c>
      <c r="N22" s="3">
        <v>1</v>
      </c>
      <c r="O22" s="3">
        <v>799</v>
      </c>
      <c r="P22" s="3">
        <v>799</v>
      </c>
      <c r="Q22" s="4" t="s">
        <v>30</v>
      </c>
      <c r="R22" s="4" t="s">
        <v>31</v>
      </c>
      <c r="S22" s="4" t="s">
        <v>37</v>
      </c>
      <c r="T22" s="4">
        <v>44600</v>
      </c>
      <c r="U22" s="4" t="s">
        <v>32</v>
      </c>
      <c r="V22" s="4" t="s">
        <v>33</v>
      </c>
    </row>
    <row r="23" spans="1:22" ht="28.8" x14ac:dyDescent="0.3">
      <c r="A23" s="3">
        <v>22</v>
      </c>
      <c r="B23" s="4" t="s">
        <v>127</v>
      </c>
      <c r="C23" s="4" t="s">
        <v>128</v>
      </c>
      <c r="D23" s="4" t="s">
        <v>36</v>
      </c>
      <c r="E23" s="3">
        <v>43</v>
      </c>
      <c r="F23" s="3" t="str">
        <f t="shared" si="0"/>
        <v>Adult</v>
      </c>
      <c r="G23" s="5">
        <v>45982</v>
      </c>
      <c r="H23" s="5" t="str">
        <f t="shared" si="1"/>
        <v>Nov</v>
      </c>
      <c r="I23" s="4" t="s">
        <v>25</v>
      </c>
      <c r="J23" s="4" t="s">
        <v>62</v>
      </c>
      <c r="K23" s="4" t="s">
        <v>129</v>
      </c>
      <c r="L23" s="4" t="s">
        <v>56</v>
      </c>
      <c r="M23" s="4" t="s">
        <v>41</v>
      </c>
      <c r="N23" s="3">
        <v>2</v>
      </c>
      <c r="O23" s="3">
        <v>1999</v>
      </c>
      <c r="P23" s="3">
        <v>3998</v>
      </c>
      <c r="Q23" s="4" t="s">
        <v>58</v>
      </c>
      <c r="R23" s="4" t="s">
        <v>31</v>
      </c>
      <c r="S23" s="4" t="s">
        <v>25</v>
      </c>
      <c r="T23" s="4">
        <v>44200</v>
      </c>
      <c r="U23" s="4" t="s">
        <v>32</v>
      </c>
      <c r="V23" s="4" t="s">
        <v>59</v>
      </c>
    </row>
    <row r="24" spans="1:22" ht="28.8" x14ac:dyDescent="0.3">
      <c r="A24" s="3">
        <v>23</v>
      </c>
      <c r="B24" s="4" t="s">
        <v>130</v>
      </c>
      <c r="C24" s="4" t="s">
        <v>131</v>
      </c>
      <c r="D24" s="4" t="s">
        <v>24</v>
      </c>
      <c r="E24" s="3">
        <v>32</v>
      </c>
      <c r="F24" s="3" t="str">
        <f t="shared" si="0"/>
        <v>Adult</v>
      </c>
      <c r="G24" s="5">
        <v>45994</v>
      </c>
      <c r="H24" s="5" t="str">
        <f t="shared" si="1"/>
        <v>Dec</v>
      </c>
      <c r="I24" s="4" t="s">
        <v>54</v>
      </c>
      <c r="J24" s="4" t="s">
        <v>38</v>
      </c>
      <c r="K24" s="4" t="s">
        <v>132</v>
      </c>
      <c r="L24" s="4" t="s">
        <v>40</v>
      </c>
      <c r="M24" s="4" t="s">
        <v>57</v>
      </c>
      <c r="N24" s="3">
        <v>1</v>
      </c>
      <c r="O24" s="3">
        <v>2999</v>
      </c>
      <c r="P24" s="3">
        <v>2999</v>
      </c>
      <c r="Q24" s="4" t="s">
        <v>65</v>
      </c>
      <c r="R24" s="4" t="s">
        <v>66</v>
      </c>
      <c r="S24" s="4" t="s">
        <v>54</v>
      </c>
      <c r="T24" s="4">
        <v>56613</v>
      </c>
      <c r="U24" s="4" t="s">
        <v>32</v>
      </c>
      <c r="V24" s="4" t="s">
        <v>33</v>
      </c>
    </row>
    <row r="25" spans="1:22" ht="28.8" x14ac:dyDescent="0.3">
      <c r="A25" s="3">
        <v>24</v>
      </c>
      <c r="B25" s="4" t="s">
        <v>133</v>
      </c>
      <c r="C25" s="4" t="s">
        <v>134</v>
      </c>
      <c r="D25" s="4" t="s">
        <v>36</v>
      </c>
      <c r="E25" s="3">
        <v>37</v>
      </c>
      <c r="F25" s="3" t="str">
        <f t="shared" si="0"/>
        <v>Adult</v>
      </c>
      <c r="G25" s="5">
        <v>46011</v>
      </c>
      <c r="H25" s="5" t="str">
        <f t="shared" si="1"/>
        <v>Dec</v>
      </c>
      <c r="I25" s="4" t="s">
        <v>25</v>
      </c>
      <c r="J25" s="4" t="s">
        <v>26</v>
      </c>
      <c r="K25" s="4" t="s">
        <v>135</v>
      </c>
      <c r="L25" s="4" t="s">
        <v>64</v>
      </c>
      <c r="M25" s="4" t="s">
        <v>41</v>
      </c>
      <c r="N25" s="3">
        <v>2</v>
      </c>
      <c r="O25" s="3">
        <v>2099</v>
      </c>
      <c r="P25" s="3">
        <v>4198</v>
      </c>
      <c r="Q25" s="4" t="s">
        <v>85</v>
      </c>
      <c r="R25" s="4" t="s">
        <v>66</v>
      </c>
      <c r="S25" s="4" t="s">
        <v>25</v>
      </c>
      <c r="T25" s="4">
        <v>56700</v>
      </c>
      <c r="U25" s="4" t="s">
        <v>32</v>
      </c>
      <c r="V25" s="4" t="s">
        <v>33</v>
      </c>
    </row>
    <row r="26" spans="1:22" ht="28.8" x14ac:dyDescent="0.3">
      <c r="A26" s="3">
        <v>25</v>
      </c>
      <c r="B26" s="4" t="s">
        <v>136</v>
      </c>
      <c r="C26" s="4" t="s">
        <v>137</v>
      </c>
      <c r="D26" s="4" t="s">
        <v>24</v>
      </c>
      <c r="E26" s="3">
        <v>21</v>
      </c>
      <c r="F26" s="3" t="str">
        <f t="shared" si="0"/>
        <v>Teenager</v>
      </c>
      <c r="G26" s="5">
        <v>45668</v>
      </c>
      <c r="H26" s="5" t="str">
        <f t="shared" si="1"/>
        <v>Jan</v>
      </c>
      <c r="I26" s="4" t="s">
        <v>88</v>
      </c>
      <c r="J26" s="4" t="s">
        <v>46</v>
      </c>
      <c r="K26" s="4" t="s">
        <v>138</v>
      </c>
      <c r="L26" s="4" t="s">
        <v>48</v>
      </c>
      <c r="M26" s="4" t="s">
        <v>49</v>
      </c>
      <c r="N26" s="3">
        <v>1</v>
      </c>
      <c r="O26" s="3">
        <v>2899</v>
      </c>
      <c r="P26" s="3">
        <v>2899</v>
      </c>
      <c r="Q26" s="4" t="s">
        <v>79</v>
      </c>
      <c r="R26" s="4" t="s">
        <v>80</v>
      </c>
      <c r="S26" s="4" t="s">
        <v>88</v>
      </c>
      <c r="T26" s="4">
        <v>32907</v>
      </c>
      <c r="U26" s="4" t="s">
        <v>32</v>
      </c>
      <c r="V26" s="4" t="s">
        <v>33</v>
      </c>
    </row>
    <row r="27" spans="1:22" ht="28.8" x14ac:dyDescent="0.3">
      <c r="A27" s="3">
        <v>26</v>
      </c>
      <c r="B27" s="4" t="s">
        <v>139</v>
      </c>
      <c r="C27" s="4" t="s">
        <v>140</v>
      </c>
      <c r="D27" s="4" t="s">
        <v>36</v>
      </c>
      <c r="E27" s="3">
        <v>48</v>
      </c>
      <c r="F27" s="3" t="str">
        <f t="shared" si="0"/>
        <v>Adult</v>
      </c>
      <c r="G27" s="5">
        <v>45703</v>
      </c>
      <c r="H27" s="5" t="str">
        <f t="shared" si="1"/>
        <v>Feb</v>
      </c>
      <c r="I27" s="4" t="s">
        <v>25</v>
      </c>
      <c r="J27" s="4" t="s">
        <v>76</v>
      </c>
      <c r="K27" s="4" t="s">
        <v>141</v>
      </c>
      <c r="L27" s="4" t="s">
        <v>84</v>
      </c>
      <c r="M27" s="4" t="s">
        <v>111</v>
      </c>
      <c r="N27" s="3">
        <v>1</v>
      </c>
      <c r="O27" s="3">
        <v>6499</v>
      </c>
      <c r="P27" s="3">
        <v>6499</v>
      </c>
      <c r="Q27" s="4" t="s">
        <v>30</v>
      </c>
      <c r="R27" s="4" t="s">
        <v>31</v>
      </c>
      <c r="S27" s="4" t="s">
        <v>25</v>
      </c>
      <c r="T27" s="4">
        <v>44600</v>
      </c>
      <c r="U27" s="4" t="s">
        <v>32</v>
      </c>
      <c r="V27" s="4" t="s">
        <v>59</v>
      </c>
    </row>
    <row r="28" spans="1:22" ht="28.8" x14ac:dyDescent="0.3">
      <c r="A28" s="3">
        <v>27</v>
      </c>
      <c r="B28" s="4" t="s">
        <v>142</v>
      </c>
      <c r="C28" s="4" t="s">
        <v>143</v>
      </c>
      <c r="D28" s="4" t="s">
        <v>24</v>
      </c>
      <c r="E28" s="3">
        <v>34</v>
      </c>
      <c r="F28" s="3" t="str">
        <f t="shared" si="0"/>
        <v>Adult</v>
      </c>
      <c r="G28" s="5">
        <v>45728</v>
      </c>
      <c r="H28" s="5" t="str">
        <f t="shared" si="1"/>
        <v>Mar</v>
      </c>
      <c r="I28" s="4" t="s">
        <v>37</v>
      </c>
      <c r="J28" s="4" t="s">
        <v>62</v>
      </c>
      <c r="K28" s="4" t="s">
        <v>144</v>
      </c>
      <c r="L28" s="4" t="s">
        <v>71</v>
      </c>
      <c r="M28" s="4" t="s">
        <v>29</v>
      </c>
      <c r="N28" s="3">
        <v>1</v>
      </c>
      <c r="O28" s="3">
        <v>4799</v>
      </c>
      <c r="P28" s="3">
        <v>4799</v>
      </c>
      <c r="Q28" s="4" t="s">
        <v>42</v>
      </c>
      <c r="R28" s="4" t="s">
        <v>31</v>
      </c>
      <c r="S28" s="4" t="s">
        <v>43</v>
      </c>
      <c r="T28" s="4">
        <v>44700</v>
      </c>
      <c r="U28" s="4" t="s">
        <v>32</v>
      </c>
      <c r="V28" s="4" t="s">
        <v>33</v>
      </c>
    </row>
    <row r="29" spans="1:22" ht="28.8" x14ac:dyDescent="0.3">
      <c r="A29" s="3">
        <v>28</v>
      </c>
      <c r="B29" s="4" t="s">
        <v>145</v>
      </c>
      <c r="C29" s="4" t="s">
        <v>146</v>
      </c>
      <c r="D29" s="4" t="s">
        <v>36</v>
      </c>
      <c r="E29" s="3">
        <v>30</v>
      </c>
      <c r="F29" s="3" t="str">
        <f t="shared" si="0"/>
        <v>Adult</v>
      </c>
      <c r="G29" s="5">
        <v>45774</v>
      </c>
      <c r="H29" s="5" t="str">
        <f t="shared" si="1"/>
        <v>Apr</v>
      </c>
      <c r="I29" s="4" t="s">
        <v>25</v>
      </c>
      <c r="J29" s="4" t="s">
        <v>38</v>
      </c>
      <c r="K29" s="4" t="s">
        <v>147</v>
      </c>
      <c r="L29" s="4" t="s">
        <v>78</v>
      </c>
      <c r="M29" s="4" t="s">
        <v>41</v>
      </c>
      <c r="N29" s="3">
        <v>3</v>
      </c>
      <c r="O29" s="3">
        <v>699</v>
      </c>
      <c r="P29" s="3">
        <v>2097</v>
      </c>
      <c r="Q29" s="4" t="s">
        <v>50</v>
      </c>
      <c r="R29" s="4" t="s">
        <v>51</v>
      </c>
      <c r="S29" s="4" t="s">
        <v>25</v>
      </c>
      <c r="T29" s="4">
        <v>33700</v>
      </c>
      <c r="U29" s="4" t="s">
        <v>32</v>
      </c>
      <c r="V29" s="4" t="s">
        <v>33</v>
      </c>
    </row>
    <row r="30" spans="1:22" ht="28.8" x14ac:dyDescent="0.3">
      <c r="A30" s="3">
        <v>29</v>
      </c>
      <c r="B30" s="4" t="s">
        <v>148</v>
      </c>
      <c r="C30" s="4" t="s">
        <v>149</v>
      </c>
      <c r="D30" s="4" t="s">
        <v>24</v>
      </c>
      <c r="E30" s="3">
        <v>44</v>
      </c>
      <c r="F30" s="3" t="str">
        <f t="shared" si="0"/>
        <v>Adult</v>
      </c>
      <c r="G30" s="5">
        <v>45792</v>
      </c>
      <c r="H30" s="5" t="str">
        <f t="shared" si="1"/>
        <v>May</v>
      </c>
      <c r="I30" s="4" t="s">
        <v>69</v>
      </c>
      <c r="J30" s="4" t="s">
        <v>26</v>
      </c>
      <c r="K30" s="4" t="s">
        <v>150</v>
      </c>
      <c r="L30" s="4" t="s">
        <v>56</v>
      </c>
      <c r="M30" s="4" t="s">
        <v>57</v>
      </c>
      <c r="N30" s="3">
        <v>1</v>
      </c>
      <c r="O30" s="3">
        <v>1899</v>
      </c>
      <c r="P30" s="3">
        <v>1899</v>
      </c>
      <c r="Q30" s="4" t="s">
        <v>72</v>
      </c>
      <c r="R30" s="4" t="s">
        <v>73</v>
      </c>
      <c r="S30" s="4" t="s">
        <v>69</v>
      </c>
      <c r="T30" s="4">
        <v>44300</v>
      </c>
      <c r="U30" s="4" t="s">
        <v>32</v>
      </c>
      <c r="V30" s="4" t="s">
        <v>59</v>
      </c>
    </row>
    <row r="31" spans="1:22" ht="28.8" x14ac:dyDescent="0.3">
      <c r="A31" s="3">
        <v>30</v>
      </c>
      <c r="B31" s="4" t="s">
        <v>151</v>
      </c>
      <c r="C31" s="4" t="s">
        <v>152</v>
      </c>
      <c r="D31" s="4" t="s">
        <v>36</v>
      </c>
      <c r="E31" s="3">
        <v>25</v>
      </c>
      <c r="F31" s="3" t="str">
        <f t="shared" si="0"/>
        <v>Teenager</v>
      </c>
      <c r="G31" s="5">
        <v>45817</v>
      </c>
      <c r="H31" s="5" t="str">
        <f t="shared" si="1"/>
        <v>Jun</v>
      </c>
      <c r="I31" s="4" t="s">
        <v>25</v>
      </c>
      <c r="J31" s="4" t="s">
        <v>46</v>
      </c>
      <c r="K31" s="4" t="s">
        <v>153</v>
      </c>
      <c r="L31" s="4" t="s">
        <v>28</v>
      </c>
      <c r="M31" s="4" t="s">
        <v>29</v>
      </c>
      <c r="N31" s="3">
        <v>2</v>
      </c>
      <c r="O31" s="3">
        <v>1199</v>
      </c>
      <c r="P31" s="3">
        <v>2398</v>
      </c>
      <c r="Q31" s="4" t="s">
        <v>58</v>
      </c>
      <c r="R31" s="4" t="s">
        <v>31</v>
      </c>
      <c r="S31" s="4" t="s">
        <v>25</v>
      </c>
      <c r="T31" s="4">
        <v>44200</v>
      </c>
      <c r="U31" s="4" t="s">
        <v>32</v>
      </c>
      <c r="V31" s="4" t="s">
        <v>33</v>
      </c>
    </row>
    <row r="32" spans="1:22" ht="28.8" x14ac:dyDescent="0.3">
      <c r="A32" s="3">
        <v>31</v>
      </c>
      <c r="B32" s="4" t="s">
        <v>154</v>
      </c>
      <c r="C32" s="4" t="s">
        <v>155</v>
      </c>
      <c r="D32" s="4" t="s">
        <v>24</v>
      </c>
      <c r="E32" s="3">
        <v>39</v>
      </c>
      <c r="F32" s="3" t="str">
        <f t="shared" si="0"/>
        <v>Adult</v>
      </c>
      <c r="G32" s="5">
        <v>45854</v>
      </c>
      <c r="H32" s="5" t="str">
        <f t="shared" si="1"/>
        <v>Jul</v>
      </c>
      <c r="I32" s="4" t="s">
        <v>37</v>
      </c>
      <c r="J32" s="4" t="s">
        <v>76</v>
      </c>
      <c r="K32" s="4" t="s">
        <v>156</v>
      </c>
      <c r="L32" s="4" t="s">
        <v>40</v>
      </c>
      <c r="M32" s="4" t="s">
        <v>41</v>
      </c>
      <c r="N32" s="3">
        <v>1</v>
      </c>
      <c r="O32" s="3">
        <v>3499</v>
      </c>
      <c r="P32" s="3">
        <v>3499</v>
      </c>
      <c r="Q32" s="4" t="s">
        <v>65</v>
      </c>
      <c r="R32" s="4" t="s">
        <v>66</v>
      </c>
      <c r="S32" s="4" t="s">
        <v>37</v>
      </c>
      <c r="T32" s="4">
        <v>56613</v>
      </c>
      <c r="U32" s="4" t="s">
        <v>32</v>
      </c>
      <c r="V32" s="4" t="s">
        <v>59</v>
      </c>
    </row>
    <row r="33" spans="1:22" ht="28.8" x14ac:dyDescent="0.3">
      <c r="A33" s="3">
        <v>32</v>
      </c>
      <c r="B33" s="4" t="s">
        <v>157</v>
      </c>
      <c r="C33" s="4" t="s">
        <v>158</v>
      </c>
      <c r="D33" s="4" t="s">
        <v>36</v>
      </c>
      <c r="E33" s="3">
        <v>28</v>
      </c>
      <c r="F33" s="3" t="str">
        <f t="shared" si="0"/>
        <v>Teenager</v>
      </c>
      <c r="G33" s="5">
        <v>45880</v>
      </c>
      <c r="H33" s="5" t="str">
        <f t="shared" si="1"/>
        <v>Aug</v>
      </c>
      <c r="I33" s="4" t="s">
        <v>25</v>
      </c>
      <c r="J33" s="4" t="s">
        <v>26</v>
      </c>
      <c r="K33" s="4" t="s">
        <v>159</v>
      </c>
      <c r="L33" s="4" t="s">
        <v>48</v>
      </c>
      <c r="M33" s="4" t="s">
        <v>29</v>
      </c>
      <c r="N33" s="3">
        <v>1</v>
      </c>
      <c r="O33" s="3">
        <v>3799</v>
      </c>
      <c r="P33" s="3">
        <v>3799</v>
      </c>
      <c r="Q33" s="4" t="s">
        <v>30</v>
      </c>
      <c r="R33" s="4" t="s">
        <v>31</v>
      </c>
      <c r="S33" s="4" t="s">
        <v>25</v>
      </c>
      <c r="T33" s="4">
        <v>44600</v>
      </c>
      <c r="U33" s="4" t="s">
        <v>32</v>
      </c>
      <c r="V33" s="4" t="s">
        <v>33</v>
      </c>
    </row>
    <row r="34" spans="1:22" ht="28.8" x14ac:dyDescent="0.3">
      <c r="A34" s="3">
        <v>33</v>
      </c>
      <c r="B34" s="4" t="s">
        <v>160</v>
      </c>
      <c r="C34" s="4" t="s">
        <v>161</v>
      </c>
      <c r="D34" s="4" t="s">
        <v>24</v>
      </c>
      <c r="E34" s="3">
        <v>46</v>
      </c>
      <c r="F34" s="3" t="str">
        <f t="shared" si="0"/>
        <v>Adult</v>
      </c>
      <c r="G34" s="5">
        <v>45928</v>
      </c>
      <c r="H34" s="5" t="str">
        <f t="shared" si="1"/>
        <v>Sep</v>
      </c>
      <c r="I34" s="4" t="s">
        <v>54</v>
      </c>
      <c r="J34" s="4" t="s">
        <v>62</v>
      </c>
      <c r="K34" s="4" t="s">
        <v>162</v>
      </c>
      <c r="L34" s="4" t="s">
        <v>64</v>
      </c>
      <c r="M34" s="4" t="s">
        <v>57</v>
      </c>
      <c r="N34" s="3">
        <v>2</v>
      </c>
      <c r="O34" s="3">
        <v>2299</v>
      </c>
      <c r="P34" s="3">
        <v>4598</v>
      </c>
      <c r="Q34" s="4" t="s">
        <v>85</v>
      </c>
      <c r="R34" s="4" t="s">
        <v>66</v>
      </c>
      <c r="S34" s="4" t="s">
        <v>54</v>
      </c>
      <c r="T34" s="4">
        <v>56700</v>
      </c>
      <c r="U34" s="4" t="s">
        <v>32</v>
      </c>
      <c r="V34" s="4" t="s">
        <v>59</v>
      </c>
    </row>
    <row r="35" spans="1:22" ht="28.8" x14ac:dyDescent="0.3">
      <c r="A35" s="3">
        <v>34</v>
      </c>
      <c r="B35" s="4" t="s">
        <v>163</v>
      </c>
      <c r="C35" s="4" t="s">
        <v>164</v>
      </c>
      <c r="D35" s="4" t="s">
        <v>36</v>
      </c>
      <c r="E35" s="3">
        <v>33</v>
      </c>
      <c r="F35" s="3" t="str">
        <f t="shared" si="0"/>
        <v>Adult</v>
      </c>
      <c r="G35" s="5">
        <v>45942</v>
      </c>
      <c r="H35" s="5" t="str">
        <f t="shared" si="1"/>
        <v>Oct</v>
      </c>
      <c r="I35" s="4" t="s">
        <v>25</v>
      </c>
      <c r="J35" s="4" t="s">
        <v>38</v>
      </c>
      <c r="K35" s="4" t="s">
        <v>165</v>
      </c>
      <c r="L35" s="4" t="s">
        <v>71</v>
      </c>
      <c r="M35" s="4" t="s">
        <v>41</v>
      </c>
      <c r="N35" s="3">
        <v>1</v>
      </c>
      <c r="O35" s="3">
        <v>5699</v>
      </c>
      <c r="P35" s="3">
        <v>5699</v>
      </c>
      <c r="Q35" s="4" t="s">
        <v>79</v>
      </c>
      <c r="R35" s="4" t="s">
        <v>80</v>
      </c>
      <c r="S35" s="4" t="s">
        <v>25</v>
      </c>
      <c r="T35" s="4">
        <v>32907</v>
      </c>
      <c r="U35" s="4" t="s">
        <v>32</v>
      </c>
      <c r="V35" s="4" t="s">
        <v>33</v>
      </c>
    </row>
    <row r="36" spans="1:22" ht="28.8" x14ac:dyDescent="0.3">
      <c r="A36" s="3">
        <v>35</v>
      </c>
      <c r="B36" s="4" t="s">
        <v>166</v>
      </c>
      <c r="C36" s="4" t="s">
        <v>167</v>
      </c>
      <c r="D36" s="4" t="s">
        <v>24</v>
      </c>
      <c r="E36" s="3">
        <v>27</v>
      </c>
      <c r="F36" s="3" t="str">
        <f t="shared" si="0"/>
        <v>Teenager</v>
      </c>
      <c r="G36" s="5">
        <v>45970</v>
      </c>
      <c r="H36" s="5" t="str">
        <f t="shared" si="1"/>
        <v>Nov</v>
      </c>
      <c r="I36" s="4" t="s">
        <v>88</v>
      </c>
      <c r="J36" s="4" t="s">
        <v>46</v>
      </c>
      <c r="K36" s="4" t="s">
        <v>168</v>
      </c>
      <c r="L36" s="4" t="s">
        <v>78</v>
      </c>
      <c r="M36" s="4" t="s">
        <v>49</v>
      </c>
      <c r="N36" s="3">
        <v>2</v>
      </c>
      <c r="O36" s="3">
        <v>899</v>
      </c>
      <c r="P36" s="3">
        <v>1798</v>
      </c>
      <c r="Q36" s="4" t="s">
        <v>50</v>
      </c>
      <c r="R36" s="4" t="s">
        <v>51</v>
      </c>
      <c r="S36" s="4" t="s">
        <v>88</v>
      </c>
      <c r="T36" s="4">
        <v>33700</v>
      </c>
      <c r="U36" s="4" t="s">
        <v>32</v>
      </c>
      <c r="V36" s="4" t="s">
        <v>33</v>
      </c>
    </row>
    <row r="37" spans="1:22" ht="28.8" x14ac:dyDescent="0.3">
      <c r="A37" s="3">
        <v>36</v>
      </c>
      <c r="B37" s="4" t="s">
        <v>169</v>
      </c>
      <c r="C37" s="4" t="s">
        <v>170</v>
      </c>
      <c r="D37" s="4" t="s">
        <v>36</v>
      </c>
      <c r="E37" s="3">
        <v>51</v>
      </c>
      <c r="F37" s="3" t="str">
        <f t="shared" si="0"/>
        <v>Senior</v>
      </c>
      <c r="G37" s="5">
        <v>45998</v>
      </c>
      <c r="H37" s="5" t="str">
        <f t="shared" si="1"/>
        <v>Dec</v>
      </c>
      <c r="I37" s="4" t="s">
        <v>25</v>
      </c>
      <c r="J37" s="4" t="s">
        <v>76</v>
      </c>
      <c r="K37" s="4" t="s">
        <v>171</v>
      </c>
      <c r="L37" s="4" t="s">
        <v>84</v>
      </c>
      <c r="M37" s="4" t="s">
        <v>57</v>
      </c>
      <c r="N37" s="3">
        <v>1</v>
      </c>
      <c r="O37" s="3">
        <v>6999</v>
      </c>
      <c r="P37" s="3">
        <v>6999</v>
      </c>
      <c r="Q37" s="4" t="s">
        <v>42</v>
      </c>
      <c r="R37" s="4" t="s">
        <v>31</v>
      </c>
      <c r="S37" s="4" t="s">
        <v>25</v>
      </c>
      <c r="T37" s="4">
        <v>44700</v>
      </c>
      <c r="U37" s="4" t="s">
        <v>32</v>
      </c>
      <c r="V37" s="4" t="s">
        <v>59</v>
      </c>
    </row>
    <row r="38" spans="1:22" ht="28.8" x14ac:dyDescent="0.3">
      <c r="A38" s="3">
        <v>37</v>
      </c>
      <c r="B38" s="4" t="s">
        <v>172</v>
      </c>
      <c r="C38" s="4" t="s">
        <v>173</v>
      </c>
      <c r="D38" s="4" t="s">
        <v>24</v>
      </c>
      <c r="E38" s="3">
        <v>23</v>
      </c>
      <c r="F38" s="3" t="str">
        <f t="shared" si="0"/>
        <v>Teenager</v>
      </c>
      <c r="G38" s="5">
        <v>45685</v>
      </c>
      <c r="H38" s="5" t="str">
        <f t="shared" si="1"/>
        <v>Jan</v>
      </c>
      <c r="I38" s="4" t="s">
        <v>37</v>
      </c>
      <c r="J38" s="4" t="s">
        <v>26</v>
      </c>
      <c r="K38" s="4" t="s">
        <v>174</v>
      </c>
      <c r="L38" s="4" t="s">
        <v>28</v>
      </c>
      <c r="M38" s="4" t="s">
        <v>49</v>
      </c>
      <c r="N38" s="3">
        <v>3</v>
      </c>
      <c r="O38" s="3">
        <v>899</v>
      </c>
      <c r="P38" s="3">
        <v>2697</v>
      </c>
      <c r="Q38" s="4" t="s">
        <v>30</v>
      </c>
      <c r="R38" s="4" t="s">
        <v>31</v>
      </c>
      <c r="S38" s="4" t="s">
        <v>43</v>
      </c>
      <c r="T38" s="4">
        <v>44600</v>
      </c>
      <c r="U38" s="4" t="s">
        <v>32</v>
      </c>
      <c r="V38" s="4" t="s">
        <v>33</v>
      </c>
    </row>
    <row r="39" spans="1:22" ht="28.8" x14ac:dyDescent="0.3">
      <c r="A39" s="3">
        <v>38</v>
      </c>
      <c r="B39" s="4" t="s">
        <v>175</v>
      </c>
      <c r="C39" s="4" t="s">
        <v>176</v>
      </c>
      <c r="D39" s="4" t="s">
        <v>36</v>
      </c>
      <c r="E39" s="3">
        <v>40</v>
      </c>
      <c r="F39" s="3" t="str">
        <f t="shared" si="0"/>
        <v>Adult</v>
      </c>
      <c r="G39" s="5">
        <v>45715</v>
      </c>
      <c r="H39" s="5" t="str">
        <f t="shared" si="1"/>
        <v>Feb</v>
      </c>
      <c r="I39" s="4" t="s">
        <v>25</v>
      </c>
      <c r="J39" s="4" t="s">
        <v>62</v>
      </c>
      <c r="K39" s="4" t="s">
        <v>177</v>
      </c>
      <c r="L39" s="4" t="s">
        <v>56</v>
      </c>
      <c r="M39" s="4" t="s">
        <v>29</v>
      </c>
      <c r="N39" s="3">
        <v>2</v>
      </c>
      <c r="O39" s="3">
        <v>2199</v>
      </c>
      <c r="P39" s="3">
        <v>4398</v>
      </c>
      <c r="Q39" s="4" t="s">
        <v>72</v>
      </c>
      <c r="R39" s="4" t="s">
        <v>73</v>
      </c>
      <c r="S39" s="4" t="s">
        <v>25</v>
      </c>
      <c r="T39" s="4">
        <v>44300</v>
      </c>
      <c r="U39" s="4" t="s">
        <v>32</v>
      </c>
      <c r="V39" s="4" t="s">
        <v>59</v>
      </c>
    </row>
    <row r="40" spans="1:22" ht="28.8" x14ac:dyDescent="0.3">
      <c r="A40" s="3">
        <v>39</v>
      </c>
      <c r="B40" s="4" t="s">
        <v>178</v>
      </c>
      <c r="C40" s="4" t="s">
        <v>179</v>
      </c>
      <c r="D40" s="4" t="s">
        <v>24</v>
      </c>
      <c r="E40" s="3">
        <v>31</v>
      </c>
      <c r="F40" s="3" t="str">
        <f t="shared" si="0"/>
        <v>Adult</v>
      </c>
      <c r="G40" s="5">
        <v>45745</v>
      </c>
      <c r="H40" s="5" t="str">
        <f t="shared" si="1"/>
        <v>Mar</v>
      </c>
      <c r="I40" s="4" t="s">
        <v>54</v>
      </c>
      <c r="J40" s="4" t="s">
        <v>38</v>
      </c>
      <c r="K40" s="4" t="s">
        <v>180</v>
      </c>
      <c r="L40" s="4" t="s">
        <v>40</v>
      </c>
      <c r="M40" s="4" t="s">
        <v>49</v>
      </c>
      <c r="N40" s="3">
        <v>1</v>
      </c>
      <c r="O40" s="3">
        <v>2799</v>
      </c>
      <c r="P40" s="3">
        <v>2799</v>
      </c>
      <c r="Q40" s="4" t="s">
        <v>58</v>
      </c>
      <c r="R40" s="4" t="s">
        <v>31</v>
      </c>
      <c r="S40" s="4" t="s">
        <v>54</v>
      </c>
      <c r="T40" s="4">
        <v>44200</v>
      </c>
      <c r="U40" s="4" t="s">
        <v>32</v>
      </c>
      <c r="V40" s="4" t="s">
        <v>33</v>
      </c>
    </row>
    <row r="41" spans="1:22" ht="28.8" x14ac:dyDescent="0.3">
      <c r="A41" s="3">
        <v>40</v>
      </c>
      <c r="B41" s="4" t="s">
        <v>181</v>
      </c>
      <c r="C41" s="4" t="s">
        <v>182</v>
      </c>
      <c r="D41" s="4" t="s">
        <v>36</v>
      </c>
      <c r="E41" s="3">
        <v>35</v>
      </c>
      <c r="F41" s="3" t="str">
        <f t="shared" si="0"/>
        <v>Adult</v>
      </c>
      <c r="G41" s="5">
        <v>45761</v>
      </c>
      <c r="H41" s="5" t="str">
        <f t="shared" si="1"/>
        <v>Apr</v>
      </c>
      <c r="I41" s="4" t="s">
        <v>25</v>
      </c>
      <c r="J41" s="4" t="s">
        <v>26</v>
      </c>
      <c r="K41" s="4" t="s">
        <v>183</v>
      </c>
      <c r="L41" s="4" t="s">
        <v>64</v>
      </c>
      <c r="M41" s="4" t="s">
        <v>29</v>
      </c>
      <c r="N41" s="3">
        <v>1</v>
      </c>
      <c r="O41" s="3">
        <v>1999</v>
      </c>
      <c r="P41" s="3">
        <v>1999</v>
      </c>
      <c r="Q41" s="4" t="s">
        <v>65</v>
      </c>
      <c r="R41" s="4" t="s">
        <v>66</v>
      </c>
      <c r="S41" s="4" t="s">
        <v>25</v>
      </c>
      <c r="T41" s="4">
        <v>56613</v>
      </c>
      <c r="U41" s="4" t="s">
        <v>32</v>
      </c>
      <c r="V41" s="4" t="s">
        <v>33</v>
      </c>
    </row>
    <row r="42" spans="1:22" ht="28.8" x14ac:dyDescent="0.3">
      <c r="A42" s="3">
        <v>41</v>
      </c>
      <c r="B42" s="4" t="s">
        <v>184</v>
      </c>
      <c r="C42" s="4" t="s">
        <v>185</v>
      </c>
      <c r="D42" s="4" t="s">
        <v>24</v>
      </c>
      <c r="E42" s="3">
        <v>29</v>
      </c>
      <c r="F42" s="3" t="str">
        <f t="shared" si="0"/>
        <v>Teenager</v>
      </c>
      <c r="G42" s="5">
        <v>45806</v>
      </c>
      <c r="H42" s="5" t="str">
        <f t="shared" si="1"/>
        <v>May</v>
      </c>
      <c r="I42" s="4" t="s">
        <v>37</v>
      </c>
      <c r="J42" s="4" t="s">
        <v>46</v>
      </c>
      <c r="K42" s="4" t="s">
        <v>186</v>
      </c>
      <c r="L42" s="4" t="s">
        <v>48</v>
      </c>
      <c r="M42" s="4" t="s">
        <v>41</v>
      </c>
      <c r="N42" s="3">
        <v>2</v>
      </c>
      <c r="O42" s="3">
        <v>4299</v>
      </c>
      <c r="P42" s="3">
        <v>8598</v>
      </c>
      <c r="Q42" s="4" t="s">
        <v>85</v>
      </c>
      <c r="R42" s="4" t="s">
        <v>66</v>
      </c>
      <c r="S42" s="4" t="s">
        <v>37</v>
      </c>
      <c r="T42" s="4">
        <v>56700</v>
      </c>
      <c r="U42" s="4" t="s">
        <v>32</v>
      </c>
      <c r="V42" s="4" t="s">
        <v>33</v>
      </c>
    </row>
    <row r="43" spans="1:22" ht="28.8" x14ac:dyDescent="0.3">
      <c r="A43" s="3">
        <v>42</v>
      </c>
      <c r="B43" s="4" t="s">
        <v>187</v>
      </c>
      <c r="C43" s="4" t="s">
        <v>188</v>
      </c>
      <c r="D43" s="4" t="s">
        <v>36</v>
      </c>
      <c r="E43" s="3">
        <v>47</v>
      </c>
      <c r="F43" s="3" t="str">
        <f t="shared" si="0"/>
        <v>Adult</v>
      </c>
      <c r="G43" s="5">
        <v>45834</v>
      </c>
      <c r="H43" s="5" t="str">
        <f t="shared" si="1"/>
        <v>Jun</v>
      </c>
      <c r="I43" s="4" t="s">
        <v>25</v>
      </c>
      <c r="J43" s="4" t="s">
        <v>76</v>
      </c>
      <c r="K43" s="4" t="s">
        <v>189</v>
      </c>
      <c r="L43" s="4" t="s">
        <v>71</v>
      </c>
      <c r="M43" s="4" t="s">
        <v>57</v>
      </c>
      <c r="N43" s="3">
        <v>1</v>
      </c>
      <c r="O43" s="3">
        <v>7299</v>
      </c>
      <c r="P43" s="3">
        <v>7299</v>
      </c>
      <c r="Q43" s="4" t="s">
        <v>30</v>
      </c>
      <c r="R43" s="4" t="s">
        <v>31</v>
      </c>
      <c r="S43" s="4" t="s">
        <v>25</v>
      </c>
      <c r="T43" s="4">
        <v>44600</v>
      </c>
      <c r="U43" s="4" t="s">
        <v>32</v>
      </c>
      <c r="V43" s="4" t="s">
        <v>59</v>
      </c>
    </row>
    <row r="44" spans="1:22" ht="28.8" x14ac:dyDescent="0.3">
      <c r="A44" s="3">
        <v>43</v>
      </c>
      <c r="B44" s="4" t="s">
        <v>190</v>
      </c>
      <c r="C44" s="4" t="s">
        <v>191</v>
      </c>
      <c r="D44" s="4" t="s">
        <v>24</v>
      </c>
      <c r="E44" s="3">
        <v>36</v>
      </c>
      <c r="F44" s="3" t="str">
        <f t="shared" si="0"/>
        <v>Adult</v>
      </c>
      <c r="G44" s="5">
        <v>45867</v>
      </c>
      <c r="H44" s="5" t="str">
        <f t="shared" si="1"/>
        <v>Jul</v>
      </c>
      <c r="I44" s="4" t="s">
        <v>69</v>
      </c>
      <c r="J44" s="4" t="s">
        <v>62</v>
      </c>
      <c r="K44" s="4" t="s">
        <v>192</v>
      </c>
      <c r="L44" s="4" t="s">
        <v>78</v>
      </c>
      <c r="M44" s="4" t="s">
        <v>29</v>
      </c>
      <c r="N44" s="3">
        <v>1</v>
      </c>
      <c r="O44" s="3">
        <v>499</v>
      </c>
      <c r="P44" s="3">
        <v>499</v>
      </c>
      <c r="Q44" s="4" t="s">
        <v>42</v>
      </c>
      <c r="R44" s="4" t="s">
        <v>31</v>
      </c>
      <c r="S44" s="4" t="s">
        <v>69</v>
      </c>
      <c r="T44" s="4">
        <v>44700</v>
      </c>
      <c r="U44" s="4" t="s">
        <v>32</v>
      </c>
      <c r="V44" s="4" t="s">
        <v>33</v>
      </c>
    </row>
    <row r="45" spans="1:22" ht="28.8" x14ac:dyDescent="0.3">
      <c r="A45" s="3">
        <v>44</v>
      </c>
      <c r="B45" s="4" t="s">
        <v>193</v>
      </c>
      <c r="C45" s="4" t="s">
        <v>194</v>
      </c>
      <c r="D45" s="4" t="s">
        <v>36</v>
      </c>
      <c r="E45" s="3">
        <v>24</v>
      </c>
      <c r="F45" s="3" t="str">
        <f t="shared" si="0"/>
        <v>Teenager</v>
      </c>
      <c r="G45" s="5">
        <v>45899</v>
      </c>
      <c r="H45" s="5" t="str">
        <f t="shared" si="1"/>
        <v>Aug</v>
      </c>
      <c r="I45" s="4" t="s">
        <v>25</v>
      </c>
      <c r="J45" s="4" t="s">
        <v>38</v>
      </c>
      <c r="K45" s="4" t="s">
        <v>195</v>
      </c>
      <c r="L45" s="4" t="s">
        <v>28</v>
      </c>
      <c r="M45" s="4" t="s">
        <v>41</v>
      </c>
      <c r="N45" s="3">
        <v>2</v>
      </c>
      <c r="O45" s="3">
        <v>1299</v>
      </c>
      <c r="P45" s="3">
        <v>2598</v>
      </c>
      <c r="Q45" s="4" t="s">
        <v>50</v>
      </c>
      <c r="R45" s="4" t="s">
        <v>51</v>
      </c>
      <c r="S45" s="4" t="s">
        <v>25</v>
      </c>
      <c r="T45" s="4">
        <v>33700</v>
      </c>
      <c r="U45" s="4" t="s">
        <v>32</v>
      </c>
      <c r="V45" s="4" t="s">
        <v>33</v>
      </c>
    </row>
    <row r="46" spans="1:22" ht="28.8" x14ac:dyDescent="0.3">
      <c r="A46" s="3">
        <v>45</v>
      </c>
      <c r="B46" s="4" t="s">
        <v>196</v>
      </c>
      <c r="C46" s="4" t="s">
        <v>197</v>
      </c>
      <c r="D46" s="4" t="s">
        <v>24</v>
      </c>
      <c r="E46" s="3">
        <v>42</v>
      </c>
      <c r="F46" s="3" t="str">
        <f t="shared" si="0"/>
        <v>Adult</v>
      </c>
      <c r="G46" s="5">
        <v>45914</v>
      </c>
      <c r="H46" s="5" t="str">
        <f t="shared" si="1"/>
        <v>Sep</v>
      </c>
      <c r="I46" s="4" t="s">
        <v>37</v>
      </c>
      <c r="J46" s="4" t="s">
        <v>26</v>
      </c>
      <c r="K46" s="4" t="s">
        <v>198</v>
      </c>
      <c r="L46" s="4" t="s">
        <v>84</v>
      </c>
      <c r="M46" s="4" t="s">
        <v>29</v>
      </c>
      <c r="N46" s="3">
        <v>1</v>
      </c>
      <c r="O46" s="3">
        <v>5999</v>
      </c>
      <c r="P46" s="3">
        <v>5999</v>
      </c>
      <c r="Q46" s="4" t="s">
        <v>79</v>
      </c>
      <c r="R46" s="4" t="s">
        <v>80</v>
      </c>
      <c r="S46" s="4" t="s">
        <v>43</v>
      </c>
      <c r="T46" s="4">
        <v>32907</v>
      </c>
      <c r="U46" s="4" t="s">
        <v>32</v>
      </c>
      <c r="V46" s="4" t="s">
        <v>59</v>
      </c>
    </row>
    <row r="47" spans="1:22" ht="28.8" x14ac:dyDescent="0.3">
      <c r="A47" s="3">
        <v>46</v>
      </c>
      <c r="B47" s="4" t="s">
        <v>199</v>
      </c>
      <c r="C47" s="4" t="s">
        <v>200</v>
      </c>
      <c r="D47" s="4" t="s">
        <v>36</v>
      </c>
      <c r="E47" s="3">
        <v>32</v>
      </c>
      <c r="F47" s="3" t="str">
        <f t="shared" si="0"/>
        <v>Adult</v>
      </c>
      <c r="G47" s="5">
        <v>45960</v>
      </c>
      <c r="H47" s="5" t="str">
        <f t="shared" si="1"/>
        <v>Oct</v>
      </c>
      <c r="I47" s="4" t="s">
        <v>25</v>
      </c>
      <c r="J47" s="4" t="s">
        <v>76</v>
      </c>
      <c r="K47" s="4" t="s">
        <v>201</v>
      </c>
      <c r="L47" s="4" t="s">
        <v>56</v>
      </c>
      <c r="M47" s="4" t="s">
        <v>57</v>
      </c>
      <c r="N47" s="3">
        <v>3</v>
      </c>
      <c r="O47" s="3">
        <v>1799</v>
      </c>
      <c r="P47" s="3">
        <v>5397</v>
      </c>
      <c r="Q47" s="4" t="s">
        <v>58</v>
      </c>
      <c r="R47" s="4" t="s">
        <v>31</v>
      </c>
      <c r="S47" s="4" t="s">
        <v>25</v>
      </c>
      <c r="T47" s="4">
        <v>44200</v>
      </c>
      <c r="U47" s="4" t="s">
        <v>32</v>
      </c>
      <c r="V47" s="4" t="s">
        <v>33</v>
      </c>
    </row>
    <row r="48" spans="1:22" ht="28.8" x14ac:dyDescent="0.3">
      <c r="A48" s="3">
        <v>47</v>
      </c>
      <c r="B48" s="4" t="s">
        <v>202</v>
      </c>
      <c r="C48" s="4" t="s">
        <v>203</v>
      </c>
      <c r="D48" s="4" t="s">
        <v>24</v>
      </c>
      <c r="E48" s="3">
        <v>28</v>
      </c>
      <c r="F48" s="3" t="str">
        <f t="shared" si="0"/>
        <v>Teenager</v>
      </c>
      <c r="G48" s="5">
        <v>45979</v>
      </c>
      <c r="H48" s="5" t="str">
        <f t="shared" si="1"/>
        <v>Nov</v>
      </c>
      <c r="I48" s="4" t="s">
        <v>88</v>
      </c>
      <c r="J48" s="4" t="s">
        <v>46</v>
      </c>
      <c r="K48" s="4" t="s">
        <v>204</v>
      </c>
      <c r="L48" s="4" t="s">
        <v>64</v>
      </c>
      <c r="M48" s="4" t="s">
        <v>49</v>
      </c>
      <c r="N48" s="3">
        <v>1</v>
      </c>
      <c r="O48" s="3">
        <v>1599</v>
      </c>
      <c r="P48" s="3">
        <v>1599</v>
      </c>
      <c r="Q48" s="4" t="s">
        <v>30</v>
      </c>
      <c r="R48" s="4" t="s">
        <v>31</v>
      </c>
      <c r="S48" s="4" t="s">
        <v>88</v>
      </c>
      <c r="T48" s="4">
        <v>44600</v>
      </c>
      <c r="U48" s="4" t="s">
        <v>32</v>
      </c>
      <c r="V48" s="4" t="s">
        <v>33</v>
      </c>
    </row>
    <row r="49" spans="1:22" ht="28.8" x14ac:dyDescent="0.3">
      <c r="A49" s="3">
        <v>48</v>
      </c>
      <c r="B49" s="4" t="s">
        <v>205</v>
      </c>
      <c r="C49" s="4" t="s">
        <v>206</v>
      </c>
      <c r="D49" s="4" t="s">
        <v>36</v>
      </c>
      <c r="E49" s="3">
        <v>55</v>
      </c>
      <c r="F49" s="3" t="str">
        <f t="shared" si="0"/>
        <v>Senior</v>
      </c>
      <c r="G49" s="5">
        <v>46005</v>
      </c>
      <c r="H49" s="5" t="str">
        <f t="shared" si="1"/>
        <v>Dec</v>
      </c>
      <c r="I49" s="4" t="s">
        <v>25</v>
      </c>
      <c r="J49" s="4" t="s">
        <v>26</v>
      </c>
      <c r="K49" s="4" t="s">
        <v>207</v>
      </c>
      <c r="L49" s="4" t="s">
        <v>40</v>
      </c>
      <c r="M49" s="4" t="s">
        <v>111</v>
      </c>
      <c r="N49" s="3">
        <v>1</v>
      </c>
      <c r="O49" s="3">
        <v>3899</v>
      </c>
      <c r="P49" s="3">
        <v>3899</v>
      </c>
      <c r="Q49" s="4" t="s">
        <v>72</v>
      </c>
      <c r="R49" s="4" t="s">
        <v>73</v>
      </c>
      <c r="S49" s="4" t="s">
        <v>25</v>
      </c>
      <c r="T49" s="4">
        <v>44300</v>
      </c>
      <c r="U49" s="4" t="s">
        <v>32</v>
      </c>
      <c r="V49" s="4" t="s">
        <v>59</v>
      </c>
    </row>
    <row r="50" spans="1:22" ht="28.8" x14ac:dyDescent="0.3">
      <c r="A50" s="3">
        <v>49</v>
      </c>
      <c r="B50" s="4" t="s">
        <v>208</v>
      </c>
      <c r="C50" s="4" t="s">
        <v>209</v>
      </c>
      <c r="D50" s="4" t="s">
        <v>24</v>
      </c>
      <c r="E50" s="3">
        <v>37</v>
      </c>
      <c r="F50" s="3" t="str">
        <f t="shared" si="0"/>
        <v>Adult</v>
      </c>
      <c r="G50" s="5">
        <v>45948</v>
      </c>
      <c r="H50" s="5" t="str">
        <f t="shared" si="1"/>
        <v>Oct</v>
      </c>
      <c r="I50" s="4" t="s">
        <v>54</v>
      </c>
      <c r="J50" s="4" t="s">
        <v>38</v>
      </c>
      <c r="K50" s="4" t="s">
        <v>210</v>
      </c>
      <c r="L50" s="4" t="s">
        <v>48</v>
      </c>
      <c r="M50" s="4" t="s">
        <v>57</v>
      </c>
      <c r="N50" s="3">
        <v>2</v>
      </c>
      <c r="O50" s="3">
        <v>4599</v>
      </c>
      <c r="P50" s="3">
        <v>9198</v>
      </c>
      <c r="Q50" s="4" t="s">
        <v>42</v>
      </c>
      <c r="R50" s="4" t="s">
        <v>31</v>
      </c>
      <c r="S50" s="4" t="s">
        <v>54</v>
      </c>
      <c r="T50" s="4">
        <v>44700</v>
      </c>
      <c r="U50" s="4" t="s">
        <v>32</v>
      </c>
      <c r="V50" s="4" t="s">
        <v>33</v>
      </c>
    </row>
    <row r="51" spans="1:22" ht="28.8" x14ac:dyDescent="0.3">
      <c r="A51" s="3">
        <v>50</v>
      </c>
      <c r="B51" s="4" t="s">
        <v>211</v>
      </c>
      <c r="C51" s="4" t="s">
        <v>212</v>
      </c>
      <c r="D51" s="4" t="s">
        <v>36</v>
      </c>
      <c r="E51" s="3">
        <v>41</v>
      </c>
      <c r="F51" s="3" t="str">
        <f t="shared" si="0"/>
        <v>Adult</v>
      </c>
      <c r="G51" s="5">
        <v>46019</v>
      </c>
      <c r="H51" s="5" t="str">
        <f t="shared" si="1"/>
        <v>Dec</v>
      </c>
      <c r="I51" s="4" t="s">
        <v>25</v>
      </c>
      <c r="J51" s="4" t="s">
        <v>62</v>
      </c>
      <c r="K51" s="4" t="s">
        <v>213</v>
      </c>
      <c r="L51" s="4" t="s">
        <v>71</v>
      </c>
      <c r="M51" s="4" t="s">
        <v>41</v>
      </c>
      <c r="N51" s="3">
        <v>1</v>
      </c>
      <c r="O51" s="3">
        <v>6199</v>
      </c>
      <c r="P51" s="3">
        <v>6199</v>
      </c>
      <c r="Q51" s="4" t="s">
        <v>50</v>
      </c>
      <c r="R51" s="4" t="s">
        <v>51</v>
      </c>
      <c r="S51" s="4" t="s">
        <v>25</v>
      </c>
      <c r="T51" s="4">
        <v>33700</v>
      </c>
      <c r="U51" s="4" t="s">
        <v>32</v>
      </c>
      <c r="V51" s="4" t="s">
        <v>59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C82E-4E2A-4C47-BA92-077FDD3558BB}">
  <dimension ref="A1:B9"/>
  <sheetViews>
    <sheetView zoomScale="85" workbookViewId="0">
      <selection activeCell="B20" sqref="B20"/>
    </sheetView>
  </sheetViews>
  <sheetFormatPr defaultRowHeight="14.4" x14ac:dyDescent="0.3"/>
  <cols>
    <col min="1" max="1" width="21.5546875" customWidth="1"/>
    <col min="2" max="2" width="89.77734375" customWidth="1"/>
  </cols>
  <sheetData>
    <row r="1" spans="1:2" x14ac:dyDescent="0.3">
      <c r="A1" s="16" t="s">
        <v>234</v>
      </c>
      <c r="B1" s="16" t="s">
        <v>235</v>
      </c>
    </row>
    <row r="2" spans="1:2" x14ac:dyDescent="0.3">
      <c r="A2" s="19" t="s">
        <v>236</v>
      </c>
      <c r="B2" s="17" t="s">
        <v>242</v>
      </c>
    </row>
    <row r="3" spans="1:2" x14ac:dyDescent="0.3">
      <c r="A3" s="20" t="s">
        <v>237</v>
      </c>
      <c r="B3" s="17" t="s">
        <v>243</v>
      </c>
    </row>
    <row r="4" spans="1:2" x14ac:dyDescent="0.3">
      <c r="A4" s="20" t="s">
        <v>238</v>
      </c>
      <c r="B4" s="17" t="s">
        <v>244</v>
      </c>
    </row>
    <row r="5" spans="1:2" x14ac:dyDescent="0.3">
      <c r="A5" s="20" t="s">
        <v>239</v>
      </c>
      <c r="B5" s="17" t="s">
        <v>245</v>
      </c>
    </row>
    <row r="6" spans="1:2" x14ac:dyDescent="0.3">
      <c r="A6" s="20" t="s">
        <v>240</v>
      </c>
      <c r="B6" s="17" t="s">
        <v>246</v>
      </c>
    </row>
    <row r="7" spans="1:2" x14ac:dyDescent="0.3">
      <c r="A7" s="20" t="s">
        <v>247</v>
      </c>
      <c r="B7" s="17" t="s">
        <v>248</v>
      </c>
    </row>
    <row r="8" spans="1:2" x14ac:dyDescent="0.3">
      <c r="A8" s="20" t="s">
        <v>249</v>
      </c>
      <c r="B8" s="17" t="s">
        <v>250</v>
      </c>
    </row>
    <row r="9" spans="1:2" x14ac:dyDescent="0.3">
      <c r="A9" s="21" t="s">
        <v>241</v>
      </c>
      <c r="B9" s="18" t="s">
        <v>251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FB97B-1DBD-4B8F-875C-CD507AE38C3C}">
  <dimension ref="F2:AD18"/>
  <sheetViews>
    <sheetView tabSelected="1" topLeftCell="E1" zoomScale="76" workbookViewId="0">
      <selection activeCell="F2" sqref="F2:Y3"/>
    </sheetView>
  </sheetViews>
  <sheetFormatPr defaultRowHeight="14.4" x14ac:dyDescent="0.3"/>
  <sheetData>
    <row r="2" spans="6:30" x14ac:dyDescent="0.3">
      <c r="F2" s="12" t="s">
        <v>252</v>
      </c>
      <c r="G2" s="13"/>
      <c r="H2" s="13"/>
      <c r="I2" s="13"/>
      <c r="J2" s="13"/>
      <c r="K2" s="13"/>
      <c r="L2" s="13"/>
      <c r="M2" s="13"/>
      <c r="N2" s="13"/>
      <c r="O2" s="13"/>
      <c r="P2" s="13"/>
      <c r="Q2" s="13"/>
      <c r="R2" s="13"/>
      <c r="S2" s="13"/>
      <c r="T2" s="13"/>
      <c r="U2" s="13"/>
      <c r="V2" s="13"/>
      <c r="W2" s="13"/>
      <c r="X2" s="13"/>
      <c r="Y2" s="13"/>
    </row>
    <row r="3" spans="6:30" x14ac:dyDescent="0.3">
      <c r="F3" s="13"/>
      <c r="G3" s="13"/>
      <c r="H3" s="13"/>
      <c r="I3" s="13"/>
      <c r="J3" s="13"/>
      <c r="K3" s="13"/>
      <c r="L3" s="13"/>
      <c r="M3" s="13"/>
      <c r="N3" s="13"/>
      <c r="O3" s="13"/>
      <c r="P3" s="13"/>
      <c r="Q3" s="13"/>
      <c r="R3" s="13"/>
      <c r="S3" s="13"/>
      <c r="T3" s="13"/>
      <c r="U3" s="13"/>
      <c r="V3" s="13"/>
      <c r="W3" s="13"/>
      <c r="X3" s="13"/>
      <c r="Y3" s="13"/>
    </row>
    <row r="4" spans="6:30" x14ac:dyDescent="0.3">
      <c r="F4" s="14"/>
      <c r="G4" s="14"/>
      <c r="H4" s="14"/>
      <c r="I4" s="14"/>
      <c r="J4" s="14"/>
      <c r="K4" s="14"/>
      <c r="L4" s="14"/>
      <c r="M4" s="14"/>
      <c r="N4" s="14"/>
      <c r="O4" s="14"/>
      <c r="P4" s="14"/>
      <c r="Q4" s="14"/>
      <c r="R4" s="14"/>
      <c r="S4" s="14"/>
      <c r="T4" s="14"/>
      <c r="U4" s="14"/>
      <c r="V4" s="14"/>
      <c r="W4" s="14"/>
      <c r="X4" s="14"/>
      <c r="Y4" s="14"/>
    </row>
    <row r="5" spans="6:30" x14ac:dyDescent="0.3">
      <c r="F5" s="15"/>
      <c r="G5" s="15"/>
      <c r="H5" s="15"/>
      <c r="I5" s="15"/>
      <c r="J5" s="15"/>
      <c r="K5" s="15"/>
      <c r="L5" s="15"/>
      <c r="M5" s="15"/>
      <c r="N5" s="15"/>
      <c r="O5" s="15"/>
      <c r="P5" s="15"/>
      <c r="Q5" s="15"/>
      <c r="R5" s="15"/>
      <c r="S5" s="15"/>
      <c r="T5" s="15"/>
      <c r="U5" s="15"/>
      <c r="V5" s="15"/>
      <c r="W5" s="15"/>
      <c r="X5" s="15"/>
      <c r="Y5" s="15"/>
    </row>
    <row r="6" spans="6:30" ht="15" thickBot="1" x14ac:dyDescent="0.35"/>
    <row r="7" spans="6:30" x14ac:dyDescent="0.3">
      <c r="AD7" s="10"/>
    </row>
    <row r="18" spans="29:29" x14ac:dyDescent="0.3">
      <c r="AC18" s="11"/>
    </row>
  </sheetData>
  <mergeCells count="2">
    <mergeCell ref="F2:Y3"/>
    <mergeCell ref="F4:Y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8651B-C99E-40CE-8600-90E742A59FA9}">
  <dimension ref="A3:C15"/>
  <sheetViews>
    <sheetView topLeftCell="A3" workbookViewId="0">
      <selection activeCell="N25" sqref="N25"/>
    </sheetView>
  </sheetViews>
  <sheetFormatPr defaultRowHeight="14.4" x14ac:dyDescent="0.3"/>
  <cols>
    <col min="1" max="1" width="12.5546875" bestFit="1" customWidth="1"/>
    <col min="2" max="2" width="14.44140625" bestFit="1" customWidth="1"/>
    <col min="3" max="3" width="14.77734375" bestFit="1" customWidth="1"/>
  </cols>
  <sheetData>
    <row r="3" spans="1:3" x14ac:dyDescent="0.3">
      <c r="A3" s="6" t="s">
        <v>214</v>
      </c>
      <c r="B3" t="s">
        <v>227</v>
      </c>
      <c r="C3" t="s">
        <v>228</v>
      </c>
    </row>
    <row r="4" spans="1:3" x14ac:dyDescent="0.3">
      <c r="A4" s="7" t="s">
        <v>215</v>
      </c>
      <c r="B4" s="8">
        <v>9893</v>
      </c>
      <c r="C4" s="8">
        <v>4</v>
      </c>
    </row>
    <row r="5" spans="1:3" x14ac:dyDescent="0.3">
      <c r="A5" s="7" t="s">
        <v>216</v>
      </c>
      <c r="B5" s="8">
        <v>18993</v>
      </c>
      <c r="C5" s="8">
        <v>4</v>
      </c>
    </row>
    <row r="6" spans="1:3" x14ac:dyDescent="0.3">
      <c r="A6" s="7" t="s">
        <v>217</v>
      </c>
      <c r="B6" s="8">
        <v>15895</v>
      </c>
      <c r="C6" s="8">
        <v>4</v>
      </c>
    </row>
    <row r="7" spans="1:3" x14ac:dyDescent="0.3">
      <c r="A7" s="7" t="s">
        <v>218</v>
      </c>
      <c r="B7" s="8">
        <v>11193</v>
      </c>
      <c r="C7" s="8">
        <v>4</v>
      </c>
    </row>
    <row r="8" spans="1:3" x14ac:dyDescent="0.3">
      <c r="A8" s="7" t="s">
        <v>219</v>
      </c>
      <c r="B8" s="8">
        <v>15094</v>
      </c>
      <c r="C8" s="8">
        <v>4</v>
      </c>
    </row>
    <row r="9" spans="1:3" x14ac:dyDescent="0.3">
      <c r="A9" s="7" t="s">
        <v>220</v>
      </c>
      <c r="B9" s="8">
        <v>18595</v>
      </c>
      <c r="C9" s="8">
        <v>4</v>
      </c>
    </row>
    <row r="10" spans="1:3" x14ac:dyDescent="0.3">
      <c r="A10" s="7" t="s">
        <v>221</v>
      </c>
      <c r="B10" s="8">
        <v>16995</v>
      </c>
      <c r="C10" s="8">
        <v>4</v>
      </c>
    </row>
    <row r="11" spans="1:3" x14ac:dyDescent="0.3">
      <c r="A11" s="7" t="s">
        <v>222</v>
      </c>
      <c r="B11" s="8">
        <v>13092</v>
      </c>
      <c r="C11" s="8">
        <v>4</v>
      </c>
    </row>
    <row r="12" spans="1:3" x14ac:dyDescent="0.3">
      <c r="A12" s="7" t="s">
        <v>223</v>
      </c>
      <c r="B12" s="8">
        <v>17594</v>
      </c>
      <c r="C12" s="8">
        <v>4</v>
      </c>
    </row>
    <row r="13" spans="1:3" x14ac:dyDescent="0.3">
      <c r="A13" s="7" t="s">
        <v>224</v>
      </c>
      <c r="B13" s="8">
        <v>34491</v>
      </c>
      <c r="C13" s="8">
        <v>5</v>
      </c>
    </row>
    <row r="14" spans="1:3" x14ac:dyDescent="0.3">
      <c r="A14" s="7" t="s">
        <v>225</v>
      </c>
      <c r="B14" s="8">
        <v>8194</v>
      </c>
      <c r="C14" s="8">
        <v>4</v>
      </c>
    </row>
    <row r="15" spans="1:3" x14ac:dyDescent="0.3">
      <c r="A15" s="7" t="s">
        <v>226</v>
      </c>
      <c r="B15" s="8">
        <v>24294</v>
      </c>
      <c r="C15" s="8">
        <v>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FF96C-2B49-472B-8002-F21C73EF7B62}">
  <dimension ref="A3:B5"/>
  <sheetViews>
    <sheetView workbookViewId="0">
      <selection activeCell="B4" sqref="B4"/>
    </sheetView>
  </sheetViews>
  <sheetFormatPr defaultRowHeight="14.4" x14ac:dyDescent="0.3"/>
  <cols>
    <col min="1" max="1" width="12.5546875" bestFit="1" customWidth="1"/>
    <col min="2" max="2" width="14.44140625" bestFit="1" customWidth="1"/>
  </cols>
  <sheetData>
    <row r="3" spans="1:2" x14ac:dyDescent="0.3">
      <c r="A3" s="6" t="s">
        <v>214</v>
      </c>
      <c r="B3" t="s">
        <v>227</v>
      </c>
    </row>
    <row r="4" spans="1:2" x14ac:dyDescent="0.3">
      <c r="A4" s="7" t="s">
        <v>24</v>
      </c>
      <c r="B4" s="8">
        <v>84664</v>
      </c>
    </row>
    <row r="5" spans="1:2" x14ac:dyDescent="0.3">
      <c r="A5" s="7" t="s">
        <v>36</v>
      </c>
      <c r="B5" s="8">
        <v>119659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662A-0734-49BC-B6C5-8EF4E3B43A94}">
  <dimension ref="A3:B9"/>
  <sheetViews>
    <sheetView workbookViewId="0">
      <selection activeCell="J15" sqref="J15"/>
    </sheetView>
  </sheetViews>
  <sheetFormatPr defaultRowHeight="14.4" x14ac:dyDescent="0.3"/>
  <cols>
    <col min="1" max="1" width="12.5546875" bestFit="1" customWidth="1"/>
    <col min="2" max="2" width="15.88671875" bestFit="1" customWidth="1"/>
  </cols>
  <sheetData>
    <row r="3" spans="1:2" x14ac:dyDescent="0.3">
      <c r="A3" s="6" t="s">
        <v>214</v>
      </c>
      <c r="B3" t="s">
        <v>232</v>
      </c>
    </row>
    <row r="4" spans="1:2" x14ac:dyDescent="0.3">
      <c r="A4" s="7" t="s">
        <v>69</v>
      </c>
      <c r="B4" s="8">
        <v>4</v>
      </c>
    </row>
    <row r="5" spans="1:2" x14ac:dyDescent="0.3">
      <c r="A5" s="7" t="s">
        <v>25</v>
      </c>
      <c r="B5" s="8">
        <v>25</v>
      </c>
    </row>
    <row r="6" spans="1:2" x14ac:dyDescent="0.3">
      <c r="A6" s="7" t="s">
        <v>43</v>
      </c>
      <c r="B6" s="8">
        <v>5</v>
      </c>
    </row>
    <row r="7" spans="1:2" x14ac:dyDescent="0.3">
      <c r="A7" s="7" t="s">
        <v>54</v>
      </c>
      <c r="B7" s="8">
        <v>6</v>
      </c>
    </row>
    <row r="8" spans="1:2" x14ac:dyDescent="0.3">
      <c r="A8" s="7" t="s">
        <v>88</v>
      </c>
      <c r="B8" s="8">
        <v>5</v>
      </c>
    </row>
    <row r="9" spans="1:2" x14ac:dyDescent="0.3">
      <c r="A9" s="7" t="s">
        <v>37</v>
      </c>
      <c r="B9" s="8">
        <v>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C7DE-82E4-4301-A34C-3F061881C9E2}">
  <dimension ref="A3:B6"/>
  <sheetViews>
    <sheetView workbookViewId="0">
      <selection activeCell="A5" sqref="A5"/>
    </sheetView>
  </sheetViews>
  <sheetFormatPr defaultRowHeight="14.4" x14ac:dyDescent="0.3"/>
  <cols>
    <col min="1" max="1" width="15.21875" bestFit="1" customWidth="1"/>
    <col min="2" max="2" width="14.44140625" bestFit="1" customWidth="1"/>
  </cols>
  <sheetData>
    <row r="3" spans="1:2" x14ac:dyDescent="0.3">
      <c r="A3" s="6" t="s">
        <v>214</v>
      </c>
      <c r="B3" t="s">
        <v>227</v>
      </c>
    </row>
    <row r="4" spans="1:2" x14ac:dyDescent="0.3">
      <c r="A4" s="7" t="s">
        <v>31</v>
      </c>
      <c r="B4" s="8">
        <v>96464</v>
      </c>
    </row>
    <row r="5" spans="1:2" x14ac:dyDescent="0.3">
      <c r="A5" s="7" t="s">
        <v>66</v>
      </c>
      <c r="B5" s="8">
        <v>43484</v>
      </c>
    </row>
    <row r="6" spans="1:2" x14ac:dyDescent="0.3">
      <c r="A6" s="7" t="s">
        <v>51</v>
      </c>
      <c r="B6" s="8">
        <v>29488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3FC4-2B94-46DC-87B8-5463CDAB7644}">
  <dimension ref="A3:C7"/>
  <sheetViews>
    <sheetView workbookViewId="0">
      <selection activeCell="N15" sqref="N15"/>
    </sheetView>
  </sheetViews>
  <sheetFormatPr defaultRowHeight="14.4" x14ac:dyDescent="0.3"/>
  <cols>
    <col min="1" max="1" width="14.44140625" bestFit="1" customWidth="1"/>
    <col min="2" max="2" width="15.5546875" bestFit="1" customWidth="1"/>
    <col min="3" max="3" width="7" bestFit="1" customWidth="1"/>
    <col min="4" max="4" width="10.77734375" bestFit="1" customWidth="1"/>
  </cols>
  <sheetData>
    <row r="3" spans="1:3" x14ac:dyDescent="0.3">
      <c r="A3" s="6" t="s">
        <v>227</v>
      </c>
      <c r="B3" s="6" t="s">
        <v>233</v>
      </c>
    </row>
    <row r="4" spans="1:3" x14ac:dyDescent="0.3">
      <c r="A4" s="6" t="s">
        <v>214</v>
      </c>
      <c r="B4" t="s">
        <v>24</v>
      </c>
      <c r="C4" t="s">
        <v>36</v>
      </c>
    </row>
    <row r="5" spans="1:3" x14ac:dyDescent="0.3">
      <c r="A5" s="7" t="s">
        <v>229</v>
      </c>
      <c r="B5" s="9">
        <v>0.2700723853897995</v>
      </c>
      <c r="C5" s="9">
        <v>0.36987025445006189</v>
      </c>
    </row>
    <row r="6" spans="1:3" x14ac:dyDescent="0.3">
      <c r="A6" s="7" t="s">
        <v>230</v>
      </c>
      <c r="B6" s="9">
        <v>0</v>
      </c>
      <c r="C6" s="9">
        <v>6.9473333888010649E-2</v>
      </c>
    </row>
    <row r="7" spans="1:3" x14ac:dyDescent="0.3">
      <c r="A7" s="7" t="s">
        <v>231</v>
      </c>
      <c r="B7" s="9">
        <v>0.14429114686060796</v>
      </c>
      <c r="C7" s="9">
        <v>0.14629287941152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8AAD-080A-4B37-B7B7-E3DBA269E3B2}">
  <dimension ref="A3:B8"/>
  <sheetViews>
    <sheetView workbookViewId="0">
      <selection activeCell="K22" sqref="K22"/>
    </sheetView>
  </sheetViews>
  <sheetFormatPr defaultRowHeight="14.4" x14ac:dyDescent="0.3"/>
  <cols>
    <col min="1" max="1" width="12.5546875" bestFit="1" customWidth="1"/>
    <col min="2" max="2" width="15.88671875" bestFit="1" customWidth="1"/>
  </cols>
  <sheetData>
    <row r="3" spans="1:2" x14ac:dyDescent="0.3">
      <c r="A3" s="6" t="s">
        <v>214</v>
      </c>
      <c r="B3" t="s">
        <v>232</v>
      </c>
    </row>
    <row r="4" spans="1:2" x14ac:dyDescent="0.3">
      <c r="A4" s="7" t="s">
        <v>76</v>
      </c>
      <c r="B4" s="8">
        <v>9</v>
      </c>
    </row>
    <row r="5" spans="1:2" x14ac:dyDescent="0.3">
      <c r="A5" s="7" t="s">
        <v>38</v>
      </c>
      <c r="B5" s="8">
        <v>10</v>
      </c>
    </row>
    <row r="6" spans="1:2" x14ac:dyDescent="0.3">
      <c r="A6" s="7" t="s">
        <v>62</v>
      </c>
      <c r="B6" s="8">
        <v>9</v>
      </c>
    </row>
    <row r="7" spans="1:2" x14ac:dyDescent="0.3">
      <c r="A7" s="7" t="s">
        <v>46</v>
      </c>
      <c r="B7" s="8">
        <v>8</v>
      </c>
    </row>
    <row r="8" spans="1:2" x14ac:dyDescent="0.3">
      <c r="A8" s="7" t="s">
        <v>26</v>
      </c>
      <c r="B8" s="8">
        <v>14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Project_Guide</vt:lpstr>
      <vt:lpstr>Dashboard</vt:lpstr>
      <vt:lpstr>order vs sales</vt:lpstr>
      <vt:lpstr>female vs man</vt:lpstr>
      <vt:lpstr>oder status</vt:lpstr>
      <vt:lpstr>Top 3 States</vt:lpstr>
      <vt:lpstr>Age Vs Gender</vt:lpstr>
      <vt:lpstr>channel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Learn</dc:creator>
  <cp:lastModifiedBy>Learn</cp:lastModifiedBy>
  <dcterms:created xsi:type="dcterms:W3CDTF">2026-09-20T17:14:07Z</dcterms:created>
  <dcterms:modified xsi:type="dcterms:W3CDTF">2026-09-27T15:59:55Z</dcterms:modified>
</cp:coreProperties>
</file>